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12_Month_Cash_Flow" sheetId="1" r:id="rId1"/>
    <sheet name="Corridor_Segments" sheetId="2" r:id="rId2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Category</t>
        </is>
      </c>
      <c r="B1" t="inlineStr">
        <is>
          <t>Jan 2026</t>
        </is>
      </c>
      <c r="C1" t="inlineStr">
        <is>
          <t>Feb 2026</t>
        </is>
      </c>
      <c r="D1" t="inlineStr">
        <is>
          <t>Mar 2026</t>
        </is>
      </c>
      <c r="E1" t="inlineStr">
        <is>
          <t>Apr 2026</t>
        </is>
      </c>
      <c r="F1" t="inlineStr">
        <is>
          <t>May 2026</t>
        </is>
      </c>
      <c r="G1" t="inlineStr">
        <is>
          <t>Jun 2026</t>
        </is>
      </c>
      <c r="H1" t="inlineStr">
        <is>
          <t>Jul 2026</t>
        </is>
      </c>
      <c r="I1" t="inlineStr">
        <is>
          <t>Aug 2026</t>
        </is>
      </c>
      <c r="J1" t="inlineStr">
        <is>
          <t>Sep 2026</t>
        </is>
      </c>
      <c r="K1" t="inlineStr">
        <is>
          <t>Oct 2026</t>
        </is>
      </c>
      <c r="L1" t="inlineStr">
        <is>
          <t>Nov 2026</t>
        </is>
      </c>
      <c r="M1" t="inlineStr">
        <is>
          <t>Dec 2026</t>
        </is>
      </c>
      <c r="N1" t="inlineStr">
        <is>
          <t>Full Year Total</t>
        </is>
      </c>
    </row>
    <row r="2">
      <c r="A2" t="inlineStr">
        <is>
          <t>Gross Freight Revenue (USD)</t>
        </is>
      </c>
      <c r="B2">
        <v>28500</v>
      </c>
      <c r="C2">
        <v>31200</v>
      </c>
      <c r="D2">
        <v>34800</v>
      </c>
      <c r="E2">
        <v>32100</v>
      </c>
      <c r="F2">
        <v>36400</v>
      </c>
      <c r="G2">
        <v>39500</v>
      </c>
      <c r="H2">
        <v>42100</v>
      </c>
      <c r="I2">
        <v>41800</v>
      </c>
      <c r="J2">
        <v>44200</v>
      </c>
      <c r="K2">
        <v>46000</v>
      </c>
      <c r="L2">
        <v>48500</v>
      </c>
      <c r="M2">
        <v>52000</v>
      </c>
      <c r="N2">
        <f>SUM(B2:M2)</f>
      </c>
    </row>
    <row r="3">
      <c r="A3" t="inlineStr">
        <is>
          <t>Diesel Fuel Burn (USD)</t>
        </is>
      </c>
      <c r="B3">
        <v>8400</v>
      </c>
      <c r="C3">
        <v>9100</v>
      </c>
      <c r="D3">
        <v>10200</v>
      </c>
      <c r="E3">
        <v>9500</v>
      </c>
      <c r="F3">
        <v>10800</v>
      </c>
      <c r="G3">
        <v>11600</v>
      </c>
      <c r="H3">
        <v>12400</v>
      </c>
      <c r="I3">
        <v>12200</v>
      </c>
      <c r="J3">
        <v>12900</v>
      </c>
      <c r="K3">
        <v>13400</v>
      </c>
      <c r="L3">
        <v>14200</v>
      </c>
      <c r="M3">
        <v>15100</v>
      </c>
      <c r="N3">
        <f>SUM(B3:M3)</f>
      </c>
    </row>
    <row r="4">
      <c r="A4" t="inlineStr">
        <is>
          <t>Toll &amp; Weighbridge Fees</t>
        </is>
      </c>
      <c r="B4">
        <v>1200</v>
      </c>
      <c r="C4">
        <v>1300</v>
      </c>
      <c r="D4">
        <v>1450</v>
      </c>
      <c r="E4">
        <v>1350</v>
      </c>
      <c r="F4">
        <v>1500</v>
      </c>
      <c r="G4">
        <v>1650</v>
      </c>
      <c r="H4">
        <v>1750</v>
      </c>
      <c r="I4">
        <v>1700</v>
      </c>
      <c r="J4">
        <v>1850</v>
      </c>
      <c r="K4">
        <v>1900</v>
      </c>
      <c r="L4">
        <v>2050</v>
      </c>
      <c r="M4">
        <v>2200</v>
      </c>
      <c r="N4">
        <f>SUM(B4:M4)</f>
      </c>
    </row>
    <row r="5">
      <c r="A5" t="inlineStr">
        <is>
          <t>Driver Allowances &amp; Per Diem</t>
        </is>
      </c>
      <c r="B5">
        <v>3200</v>
      </c>
      <c r="C5">
        <v>3400</v>
      </c>
      <c r="D5">
        <v>3800</v>
      </c>
      <c r="E5">
        <v>3500</v>
      </c>
      <c r="F5">
        <v>4000</v>
      </c>
      <c r="G5">
        <v>4300</v>
      </c>
      <c r="H5">
        <v>4600</v>
      </c>
      <c r="I5">
        <v>4500</v>
      </c>
      <c r="J5">
        <v>4800</v>
      </c>
      <c r="K5">
        <v>5000</v>
      </c>
      <c r="L5">
        <v>5300</v>
      </c>
      <c r="M5">
        <v>5700</v>
      </c>
      <c r="N5">
        <f>SUM(B5:M5)</f>
      </c>
    </row>
    <row r="6">
      <c r="A6" t="inlineStr">
        <is>
          <t>Truck Maintenance &amp; Spares</t>
        </is>
      </c>
      <c r="B6">
        <v>2400</v>
      </c>
      <c r="C6">
        <v>1800</v>
      </c>
      <c r="D6">
        <v>3100</v>
      </c>
      <c r="E6">
        <v>2200</v>
      </c>
      <c r="F6">
        <v>2600</v>
      </c>
      <c r="G6">
        <v>3400</v>
      </c>
      <c r="H6">
        <v>2800</v>
      </c>
      <c r="I6">
        <v>3900</v>
      </c>
      <c r="J6">
        <v>3100</v>
      </c>
      <c r="K6">
        <v>2900</v>
      </c>
      <c r="L6">
        <v>3600</v>
      </c>
      <c r="M6">
        <v>4100</v>
      </c>
      <c r="N6">
        <f>SUM(B6:M6)</f>
      </c>
    </row>
    <row r="7">
      <c r="A7" t="inlineStr">
        <is>
          <t>Total Operating Expense</t>
        </is>
      </c>
      <c r="B7">
        <f>SUM(B3:B6)</f>
      </c>
      <c r="C7">
        <f>SUM(C3:C6)</f>
      </c>
      <c r="D7">
        <f>SUM(D3:D6)</f>
      </c>
      <c r="E7">
        <f>SUM(E3:E6)</f>
      </c>
      <c r="F7">
        <f>SUM(F3:F6)</f>
      </c>
      <c r="G7">
        <f>SUM(G3:G6)</f>
      </c>
      <c r="H7">
        <f>SUM(H3:H6)</f>
      </c>
      <c r="I7">
        <f>SUM(I3:I6)</f>
      </c>
      <c r="J7">
        <f>SUM(J3:J6)</f>
      </c>
      <c r="K7">
        <f>SUM(K3:K6)</f>
      </c>
      <c r="L7">
        <f>SUM(L3:L6)</f>
      </c>
      <c r="M7">
        <f>SUM(M3:M6)</f>
      </c>
      <c r="N7">
        <f>SUM(N3:N6)</f>
      </c>
    </row>
    <row r="8">
      <c r="A8" t="inlineStr">
        <is>
          <t>Net Operating Margin (USD)</t>
        </is>
      </c>
      <c r="B8">
        <f>B2-B7</f>
      </c>
      <c r="C8">
        <f>C2-C7</f>
      </c>
      <c r="D8">
        <f>D2-D7</f>
      </c>
      <c r="E8">
        <f>E2-E7</f>
      </c>
      <c r="F8">
        <f>F2-F7</f>
      </c>
      <c r="G8">
        <f>G2-G7</f>
      </c>
      <c r="H8">
        <f>H2-H7</f>
      </c>
      <c r="I8">
        <f>I2-I7</f>
      </c>
      <c r="J8">
        <f>J2-J7</f>
      </c>
      <c r="K8">
        <f>K2-K7</f>
      </c>
      <c r="L8">
        <f>L2-L7</f>
      </c>
      <c r="M8">
        <f>M2-M7</f>
      </c>
      <c r="N8">
        <f>N2-N7</f>
      </c>
    </row>
    <row r="9">
      <c r="A9" t="inlineStr">
        <is>
          <t>Operating Margin %</t>
        </is>
      </c>
      <c r="B9">
        <f>B8/B2</f>
      </c>
      <c r="C9">
        <f>C8/C2</f>
      </c>
      <c r="D9">
        <f>D8/D2</f>
      </c>
      <c r="E9">
        <f>E8/E2</f>
      </c>
      <c r="F9">
        <f>F8/F2</f>
      </c>
      <c r="G9">
        <f>G8/G2</f>
      </c>
      <c r="H9">
        <f>H8/H2</f>
      </c>
      <c r="I9">
        <f>I8/I2</f>
      </c>
      <c r="J9">
        <f>J8/J2</f>
      </c>
      <c r="K9">
        <f>K8/K2</f>
      </c>
      <c r="L9">
        <f>L8/L2</f>
      </c>
      <c r="M9">
        <f>M8/M2</f>
      </c>
      <c r="N9">
        <f>N8/N2</f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Segment</t>
        </is>
      </c>
      <c r="B1" t="inlineStr">
        <is>
          <t>Round Trips / Mo</t>
        </is>
      </c>
      <c r="C1" t="inlineStr">
        <is>
          <t>Avg Miles</t>
        </is>
      </c>
      <c r="D1" t="inlineStr">
        <is>
          <t>Avg KES Fuel / Trip</t>
        </is>
      </c>
      <c r="E1" t="inlineStr">
        <is>
          <t>Avg Toll KES</t>
        </is>
      </c>
      <c r="F1" t="inlineStr">
        <is>
          <t>Net Revenue USD</t>
        </is>
      </c>
    </row>
    <row r="2">
      <c r="A2" t="inlineStr">
        <is>
          <t>Mombasa - Nairobi (Southern)</t>
        </is>
      </c>
      <c r="B2">
        <v>18</v>
      </c>
      <c r="C2">
        <v>608</v>
      </c>
      <c r="D2">
        <v>42500</v>
      </c>
      <c r="E2">
        <v>3200</v>
      </c>
      <c r="F2">
        <v>18400</v>
      </c>
    </row>
    <row r="3">
      <c r="A3" t="inlineStr">
        <is>
          <t>Nairobi - Eldoret - Malaba</t>
        </is>
      </c>
      <c r="B3">
        <v>12</v>
      </c>
      <c r="C3">
        <v>480</v>
      </c>
      <c r="D3">
        <v>36000</v>
      </c>
      <c r="E3">
        <v>1800</v>
      </c>
      <c r="F3">
        <v>14200</v>
      </c>
    </row>
    <row r="4">
      <c r="A4" t="inlineStr">
        <is>
          <t>Nairobi Metro Shuttles</t>
        </is>
      </c>
      <c r="B4">
        <v>35</v>
      </c>
      <c r="C4">
        <v>120</v>
      </c>
      <c r="D4">
        <v>8500</v>
      </c>
      <c r="E4">
        <v>0</v>
      </c>
      <c r="F4">
        <v>9600</v>
      </c>
    </row>
  </sheetData>
</worksheet>
</file>