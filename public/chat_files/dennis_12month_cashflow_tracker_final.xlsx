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2-Month P&amp;L Cashflow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164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7" customWidth="1" min="14" max="14"/>
  </cols>
  <sheetData>
    <row r="1" ht="28" customHeight="1">
      <c r="A1" s="1" t="inlineStr">
        <is>
          <t>Financial Line Item (USD)</t>
        </is>
      </c>
      <c r="B1" s="1" t="inlineStr">
        <is>
          <t>Jan 2026</t>
        </is>
      </c>
      <c r="C1" s="1" t="inlineStr">
        <is>
          <t>Feb 2026</t>
        </is>
      </c>
      <c r="D1" s="1" t="inlineStr">
        <is>
          <t>Mar 2026</t>
        </is>
      </c>
      <c r="E1" s="1" t="inlineStr">
        <is>
          <t>Apr 2026</t>
        </is>
      </c>
      <c r="F1" s="1" t="inlineStr">
        <is>
          <t>May 2026</t>
        </is>
      </c>
      <c r="G1" s="1" t="inlineStr">
        <is>
          <t>Jun 2026</t>
        </is>
      </c>
      <c r="H1" s="1" t="inlineStr">
        <is>
          <t>Jul 2026</t>
        </is>
      </c>
      <c r="I1" s="1" t="inlineStr">
        <is>
          <t>Aug 2026</t>
        </is>
      </c>
      <c r="J1" s="1" t="inlineStr">
        <is>
          <t>Sep 2026</t>
        </is>
      </c>
      <c r="K1" s="1" t="inlineStr">
        <is>
          <t>Oct 2026</t>
        </is>
      </c>
      <c r="L1" s="1" t="inlineStr">
        <is>
          <t>Nov 2026</t>
        </is>
      </c>
      <c r="M1" s="1" t="inlineStr">
        <is>
          <t>Dec 2026</t>
        </is>
      </c>
      <c r="N1" s="1" t="inlineStr">
        <is>
          <t>FY2026 Total</t>
        </is>
      </c>
    </row>
    <row r="2" ht="20" customHeight="1">
      <c r="A2" s="2" t="inlineStr">
        <is>
          <t>Gross Southern Corridor Freight Revenue (Mombasa-Nairobi)</t>
        </is>
      </c>
      <c r="B2" s="3" t="n">
        <v>28500</v>
      </c>
      <c r="C2" s="3" t="n">
        <v>31200</v>
      </c>
      <c r="D2" s="3" t="n">
        <v>34800</v>
      </c>
      <c r="E2" s="3" t="n">
        <v>32100</v>
      </c>
      <c r="F2" s="3" t="n">
        <v>36400</v>
      </c>
      <c r="G2" s="3" t="n">
        <v>38200</v>
      </c>
      <c r="H2" s="3" t="n">
        <v>39500</v>
      </c>
      <c r="I2" s="3" t="n">
        <v>41200</v>
      </c>
      <c r="J2" s="3" t="n">
        <v>42800</v>
      </c>
      <c r="K2" s="3" t="n">
        <v>44500</v>
      </c>
      <c r="L2" s="3" t="n">
        <v>46200</v>
      </c>
      <c r="M2" s="3" t="n">
        <v>49800</v>
      </c>
      <c r="N2" s="4">
        <f>SUM(B2:M2)</f>
        <v/>
      </c>
    </row>
    <row r="3" ht="20" customHeight="1">
      <c r="A3" s="5" t="inlineStr">
        <is>
          <t>Northern Transit Revenue (Nairobi-Eldoret-Malaba Transit)</t>
        </is>
      </c>
      <c r="B3" s="6" t="n">
        <v>14200</v>
      </c>
      <c r="C3" s="6" t="n">
        <v>15600</v>
      </c>
      <c r="D3" s="6" t="n">
        <v>17400</v>
      </c>
      <c r="E3" s="6" t="n">
        <v>16100</v>
      </c>
      <c r="F3" s="6" t="n">
        <v>18200</v>
      </c>
      <c r="G3" s="6" t="n">
        <v>19100</v>
      </c>
      <c r="H3" s="6" t="n">
        <v>19800</v>
      </c>
      <c r="I3" s="6" t="n">
        <v>20600</v>
      </c>
      <c r="J3" s="6" t="n">
        <v>21400</v>
      </c>
      <c r="K3" s="6" t="n">
        <v>22200</v>
      </c>
      <c r="L3" s="6" t="n">
        <v>23100</v>
      </c>
      <c r="M3" s="6" t="n">
        <v>24900</v>
      </c>
      <c r="N3" s="7">
        <f>SUM(B3:M3)</f>
        <v/>
      </c>
    </row>
    <row r="4" ht="20" customHeight="1">
      <c r="A4" s="2" t="inlineStr">
        <is>
          <t>Nairobi Metro Container Shuttles &amp; Staging</t>
        </is>
      </c>
      <c r="B4" s="3" t="n">
        <v>6800</v>
      </c>
      <c r="C4" s="3" t="n">
        <v>7200</v>
      </c>
      <c r="D4" s="3" t="n">
        <v>7900</v>
      </c>
      <c r="E4" s="3" t="n">
        <v>7400</v>
      </c>
      <c r="F4" s="3" t="n">
        <v>8100</v>
      </c>
      <c r="G4" s="3" t="n">
        <v>8500</v>
      </c>
      <c r="H4" s="3" t="n">
        <v>8800</v>
      </c>
      <c r="I4" s="3" t="n">
        <v>9100</v>
      </c>
      <c r="J4" s="3" t="n">
        <v>9400</v>
      </c>
      <c r="K4" s="3" t="n">
        <v>9800</v>
      </c>
      <c r="L4" s="3" t="n">
        <v>10200</v>
      </c>
      <c r="M4" s="3" t="n">
        <v>11100</v>
      </c>
      <c r="N4" s="4">
        <f>SUM(B4:M4)</f>
        <v/>
      </c>
    </row>
    <row r="5" ht="20" customHeight="1">
      <c r="A5" s="5" t="inlineStr">
        <is>
          <t>Demurrage Recovery &amp; Detention Surcharges</t>
        </is>
      </c>
      <c r="B5" s="6" t="n">
        <v>1850</v>
      </c>
      <c r="C5" s="6" t="n">
        <v>2100</v>
      </c>
      <c r="D5" s="6" t="n">
        <v>2400</v>
      </c>
      <c r="E5" s="6" t="n">
        <v>1950</v>
      </c>
      <c r="F5" s="6" t="n">
        <v>2200</v>
      </c>
      <c r="G5" s="6" t="n">
        <v>2600</v>
      </c>
      <c r="H5" s="6" t="n">
        <v>2750</v>
      </c>
      <c r="I5" s="6" t="n">
        <v>2900</v>
      </c>
      <c r="J5" s="6" t="n">
        <v>3100</v>
      </c>
      <c r="K5" s="6" t="n">
        <v>3300</v>
      </c>
      <c r="L5" s="6" t="n">
        <v>3450</v>
      </c>
      <c r="M5" s="6" t="n">
        <v>3800</v>
      </c>
      <c r="N5" s="7">
        <f>SUM(B5:M5)</f>
        <v/>
      </c>
    </row>
    <row r="6" ht="20" customHeight="1">
      <c r="A6" s="8" t="inlineStr">
        <is>
          <t>TOTAL GROSS OPERATING REVENUE (USD)</t>
        </is>
      </c>
      <c r="B6" s="8">
        <f>SUM(B2:B5)</f>
        <v/>
      </c>
      <c r="C6" s="8">
        <f>SUM(C2:C5)</f>
        <v/>
      </c>
      <c r="D6" s="8">
        <f>SUM(D2:D5)</f>
        <v/>
      </c>
      <c r="E6" s="8">
        <f>SUM(E2:E5)</f>
        <v/>
      </c>
      <c r="F6" s="8">
        <f>SUM(F2:F5)</f>
        <v/>
      </c>
      <c r="G6" s="8">
        <f>SUM(G2:G5)</f>
        <v/>
      </c>
      <c r="H6" s="8">
        <f>SUM(H2:H5)</f>
        <v/>
      </c>
      <c r="I6" s="8">
        <f>SUM(I2:I5)</f>
        <v/>
      </c>
      <c r="J6" s="8">
        <f>SUM(J2:J5)</f>
        <v/>
      </c>
      <c r="K6" s="8">
        <f>SUM(K2:K5)</f>
        <v/>
      </c>
      <c r="L6" s="8">
        <f>SUM(L2:L5)</f>
        <v/>
      </c>
      <c r="M6" s="8">
        <f>SUM(M2:M5)</f>
        <v/>
      </c>
      <c r="N6" s="8">
        <f>SUM(N2:N5)</f>
        <v/>
      </c>
    </row>
    <row r="7" ht="20" customHeight="1">
      <c r="A7" s="5" t="inlineStr">
        <is>
          <t>Bulk Diesel Fuel Burn (USD)</t>
        </is>
      </c>
      <c r="B7" s="6" t="n">
        <v>13400</v>
      </c>
      <c r="C7" s="6" t="n">
        <v>14500</v>
      </c>
      <c r="D7" s="6" t="n">
        <v>16200</v>
      </c>
      <c r="E7" s="6" t="n">
        <v>15100</v>
      </c>
      <c r="F7" s="6" t="n">
        <v>17100</v>
      </c>
      <c r="G7" s="6" t="n">
        <v>17900</v>
      </c>
      <c r="H7" s="6" t="n">
        <v>18500</v>
      </c>
      <c r="I7" s="6" t="n">
        <v>19300</v>
      </c>
      <c r="J7" s="6" t="n">
        <v>20100</v>
      </c>
      <c r="K7" s="6" t="n">
        <v>20800</v>
      </c>
      <c r="L7" s="6" t="n">
        <v>21600</v>
      </c>
      <c r="M7" s="6" t="n">
        <v>23400</v>
      </c>
      <c r="N7" s="7">
        <f>SUM(B7:M7)</f>
        <v/>
      </c>
    </row>
    <row r="8" ht="20" customHeight="1">
      <c r="A8" s="2" t="inlineStr">
        <is>
          <t>Highway Tolls &amp; Axle-Load Weighbridge Gate Fees</t>
        </is>
      </c>
      <c r="B8" s="3" t="n">
        <v>2100</v>
      </c>
      <c r="C8" s="3" t="n">
        <v>2300</v>
      </c>
      <c r="D8" s="3" t="n">
        <v>2550</v>
      </c>
      <c r="E8" s="3" t="n">
        <v>2400</v>
      </c>
      <c r="F8" s="3" t="n">
        <v>2650</v>
      </c>
      <c r="G8" s="3" t="n">
        <v>2800</v>
      </c>
      <c r="H8" s="3" t="n">
        <v>2900</v>
      </c>
      <c r="I8" s="3" t="n">
        <v>3050</v>
      </c>
      <c r="J8" s="3" t="n">
        <v>3150</v>
      </c>
      <c r="K8" s="3" t="n">
        <v>3300</v>
      </c>
      <c r="L8" s="3" t="n">
        <v>3400</v>
      </c>
      <c r="M8" s="3" t="n">
        <v>3700</v>
      </c>
      <c r="N8" s="4">
        <f>SUM(B8:M8)</f>
        <v/>
      </c>
    </row>
    <row r="9" ht="20" customHeight="1">
      <c r="A9" s="5" t="inlineStr">
        <is>
          <t>Driver Mileage Allowances &amp; Per Diem Surcharges</t>
        </is>
      </c>
      <c r="B9" s="6" t="n">
        <v>4800</v>
      </c>
      <c r="C9" s="6" t="n">
        <v>5200</v>
      </c>
      <c r="D9" s="6" t="n">
        <v>5800</v>
      </c>
      <c r="E9" s="6" t="n">
        <v>5400</v>
      </c>
      <c r="F9" s="6" t="n">
        <v>6100</v>
      </c>
      <c r="G9" s="6" t="n">
        <v>6400</v>
      </c>
      <c r="H9" s="6" t="n">
        <v>6600</v>
      </c>
      <c r="I9" s="6" t="n">
        <v>6900</v>
      </c>
      <c r="J9" s="6" t="n">
        <v>7150</v>
      </c>
      <c r="K9" s="6" t="n">
        <v>7400</v>
      </c>
      <c r="L9" s="6" t="n">
        <v>7700</v>
      </c>
      <c r="M9" s="6" t="n">
        <v>8300</v>
      </c>
      <c r="N9" s="7">
        <f>SUM(B9:M9)</f>
        <v/>
      </c>
    </row>
    <row r="10" ht="20" customHeight="1">
      <c r="A10" s="2" t="inlineStr">
        <is>
          <t>Fleet Preventative Maintenance, Spares &amp; Lubes</t>
        </is>
      </c>
      <c r="B10" s="3" t="n">
        <v>3200</v>
      </c>
      <c r="C10" s="3" t="n">
        <v>2800</v>
      </c>
      <c r="D10" s="3" t="n">
        <v>4100</v>
      </c>
      <c r="E10" s="3" t="n">
        <v>3100</v>
      </c>
      <c r="F10" s="3" t="n">
        <v>3600</v>
      </c>
      <c r="G10" s="3" t="n">
        <v>3900</v>
      </c>
      <c r="H10" s="3" t="n">
        <v>4200</v>
      </c>
      <c r="I10" s="3" t="n">
        <v>4100</v>
      </c>
      <c r="J10" s="3" t="n">
        <v>4500</v>
      </c>
      <c r="K10" s="3" t="n">
        <v>4400</v>
      </c>
      <c r="L10" s="3" t="n">
        <v>4800</v>
      </c>
      <c r="M10" s="3" t="n">
        <v>5200</v>
      </c>
      <c r="N10" s="4">
        <f>SUM(B10:M10)</f>
        <v/>
      </c>
    </row>
    <row r="11" ht="20" customHeight="1">
      <c r="A11" s="5" t="inlineStr">
        <is>
          <t>Tire Replacement &amp; Amortization (Michelin/Bridgestone)</t>
        </is>
      </c>
      <c r="B11" s="6" t="n">
        <v>1800</v>
      </c>
      <c r="C11" s="6" t="n">
        <v>1800</v>
      </c>
      <c r="D11" s="6" t="n">
        <v>2400</v>
      </c>
      <c r="E11" s="6" t="n">
        <v>1800</v>
      </c>
      <c r="F11" s="6" t="n">
        <v>2400</v>
      </c>
      <c r="G11" s="6" t="n">
        <v>2400</v>
      </c>
      <c r="H11" s="6" t="n">
        <v>2400</v>
      </c>
      <c r="I11" s="6" t="n">
        <v>3200</v>
      </c>
      <c r="J11" s="6" t="n">
        <v>2400</v>
      </c>
      <c r="K11" s="6" t="n">
        <v>2400</v>
      </c>
      <c r="L11" s="6" t="n">
        <v>3200</v>
      </c>
      <c r="M11" s="6" t="n">
        <v>3200</v>
      </c>
      <c r="N11" s="7">
        <f>SUM(B11:M11)</f>
        <v/>
      </c>
    </row>
    <row r="12" ht="20" customHeight="1">
      <c r="A12" s="2" t="inlineStr">
        <is>
          <t>Transit Goods-in-Transit (GIT) Insurance Premiums</t>
        </is>
      </c>
      <c r="B12" s="3" t="n">
        <v>1650</v>
      </c>
      <c r="C12" s="3" t="n">
        <v>1650</v>
      </c>
      <c r="D12" s="3" t="n">
        <v>1650</v>
      </c>
      <c r="E12" s="3" t="n">
        <v>1650</v>
      </c>
      <c r="F12" s="3" t="n">
        <v>1650</v>
      </c>
      <c r="G12" s="3" t="n">
        <v>1650</v>
      </c>
      <c r="H12" s="3" t="n">
        <v>1650</v>
      </c>
      <c r="I12" s="3" t="n">
        <v>1650</v>
      </c>
      <c r="J12" s="3" t="n">
        <v>1650</v>
      </c>
      <c r="K12" s="3" t="n">
        <v>1650</v>
      </c>
      <c r="L12" s="3" t="n">
        <v>1650</v>
      </c>
      <c r="M12" s="3" t="n">
        <v>1650</v>
      </c>
      <c r="N12" s="4">
        <f>SUM(B12:M12)</f>
        <v/>
      </c>
    </row>
    <row r="13" ht="20" customHeight="1">
      <c r="A13" s="5" t="inlineStr">
        <is>
          <t>Terminal Parking, Security &amp; Dispatch Software</t>
        </is>
      </c>
      <c r="B13" s="6" t="n">
        <v>950</v>
      </c>
      <c r="C13" s="6" t="n">
        <v>950</v>
      </c>
      <c r="D13" s="6" t="n">
        <v>950</v>
      </c>
      <c r="E13" s="6" t="n">
        <v>950</v>
      </c>
      <c r="F13" s="6" t="n">
        <v>950</v>
      </c>
      <c r="G13" s="6" t="n">
        <v>950</v>
      </c>
      <c r="H13" s="6" t="n">
        <v>950</v>
      </c>
      <c r="I13" s="6" t="n">
        <v>950</v>
      </c>
      <c r="J13" s="6" t="n">
        <v>950</v>
      </c>
      <c r="K13" s="6" t="n">
        <v>950</v>
      </c>
      <c r="L13" s="6" t="n">
        <v>950</v>
      </c>
      <c r="M13" s="6" t="n">
        <v>950</v>
      </c>
      <c r="N13" s="7">
        <f>SUM(B13:M13)</f>
        <v/>
      </c>
    </row>
    <row r="14" ht="20" customHeight="1">
      <c r="A14" s="8" t="inlineStr">
        <is>
          <t>TOTAL DIRECT CASH EXPENSES (USD)</t>
        </is>
      </c>
      <c r="B14" s="8">
        <f>SUM(B7:B13)</f>
        <v/>
      </c>
      <c r="C14" s="8">
        <f>SUM(C7:C13)</f>
        <v/>
      </c>
      <c r="D14" s="8">
        <f>SUM(D7:D13)</f>
        <v/>
      </c>
      <c r="E14" s="8">
        <f>SUM(E7:E13)</f>
        <v/>
      </c>
      <c r="F14" s="8">
        <f>SUM(F7:F13)</f>
        <v/>
      </c>
      <c r="G14" s="8">
        <f>SUM(G7:G13)</f>
        <v/>
      </c>
      <c r="H14" s="8">
        <f>SUM(H7:H13)</f>
        <v/>
      </c>
      <c r="I14" s="8">
        <f>SUM(I7:I13)</f>
        <v/>
      </c>
      <c r="J14" s="8">
        <f>SUM(J7:J13)</f>
        <v/>
      </c>
      <c r="K14" s="8">
        <f>SUM(K7:K13)</f>
        <v/>
      </c>
      <c r="L14" s="8">
        <f>SUM(L7:L13)</f>
        <v/>
      </c>
      <c r="M14" s="8">
        <f>SUM(M7:M13)</f>
        <v/>
      </c>
      <c r="N14" s="8">
        <f>SUM(N7:N13)</f>
        <v/>
      </c>
    </row>
    <row r="15" ht="20" customHeight="1">
      <c r="A15" s="5" t="inlineStr">
        <is>
          <t>OPERATING CASH EBITDA (USD)</t>
        </is>
      </c>
      <c r="B15" s="7">
        <f>B6-B14</f>
        <v/>
      </c>
      <c r="C15" s="7">
        <f>C6-C14</f>
        <v/>
      </c>
      <c r="D15" s="7">
        <f>D6-D14</f>
        <v/>
      </c>
      <c r="E15" s="7">
        <f>E6-E14</f>
        <v/>
      </c>
      <c r="F15" s="7">
        <f>F6-F14</f>
        <v/>
      </c>
      <c r="G15" s="7">
        <f>G6-G14</f>
        <v/>
      </c>
      <c r="H15" s="7">
        <f>H6-H14</f>
        <v/>
      </c>
      <c r="I15" s="7">
        <f>I6-I14</f>
        <v/>
      </c>
      <c r="J15" s="7">
        <f>J6-J14</f>
        <v/>
      </c>
      <c r="K15" s="7">
        <f>K6-K14</f>
        <v/>
      </c>
      <c r="L15" s="7">
        <f>L6-L14</f>
        <v/>
      </c>
      <c r="M15" s="7">
        <f>M6-M14</f>
        <v/>
      </c>
      <c r="N15" s="7">
        <f>N6-N14</f>
        <v/>
      </c>
    </row>
    <row r="16" ht="20" customHeight="1">
      <c r="A16" s="2" t="inlineStr">
        <is>
          <t>Truck Lease Debt Service (Stanbic Bank Facility)</t>
        </is>
      </c>
      <c r="B16" s="3" t="n">
        <v>6500</v>
      </c>
      <c r="C16" s="3" t="n">
        <v>6500</v>
      </c>
      <c r="D16" s="3" t="n">
        <v>6500</v>
      </c>
      <c r="E16" s="3" t="n">
        <v>6500</v>
      </c>
      <c r="F16" s="3" t="n">
        <v>6500</v>
      </c>
      <c r="G16" s="3" t="n">
        <v>6500</v>
      </c>
      <c r="H16" s="3" t="n">
        <v>6500</v>
      </c>
      <c r="I16" s="3" t="n">
        <v>6500</v>
      </c>
      <c r="J16" s="3" t="n">
        <v>6500</v>
      </c>
      <c r="K16" s="3" t="n">
        <v>6500</v>
      </c>
      <c r="L16" s="3" t="n">
        <v>6500</v>
      </c>
      <c r="M16" s="3" t="n">
        <v>6500</v>
      </c>
      <c r="N16" s="4">
        <f>SUM(B16:M16)</f>
        <v/>
      </c>
    </row>
    <row r="17" ht="20" customHeight="1">
      <c r="A17" s="5" t="inlineStr">
        <is>
          <t>NET MONTHLY FREE CASH FLOW (USD)</t>
        </is>
      </c>
      <c r="B17" s="7">
        <f>B15-B16</f>
        <v/>
      </c>
      <c r="C17" s="7">
        <f>C15-C16</f>
        <v/>
      </c>
      <c r="D17" s="7">
        <f>D15-D16</f>
        <v/>
      </c>
      <c r="E17" s="7">
        <f>E15-E16</f>
        <v/>
      </c>
      <c r="F17" s="7">
        <f>F15-F16</f>
        <v/>
      </c>
      <c r="G17" s="7">
        <f>G15-G16</f>
        <v/>
      </c>
      <c r="H17" s="7">
        <f>H15-H16</f>
        <v/>
      </c>
      <c r="I17" s="7">
        <f>I15-I16</f>
        <v/>
      </c>
      <c r="J17" s="7">
        <f>J15-J16</f>
        <v/>
      </c>
      <c r="K17" s="7">
        <f>K15-K16</f>
        <v/>
      </c>
      <c r="L17" s="7">
        <f>L15-L16</f>
        <v/>
      </c>
      <c r="M17" s="7">
        <f>M15-M16</f>
        <v/>
      </c>
      <c r="N17" s="7">
        <f>N15-N16</f>
        <v/>
      </c>
    </row>
    <row r="18" ht="20" customHeight="1">
      <c r="A18" s="2" t="inlineStr">
        <is>
          <t>ENDING ACCUMULATED CASH BALANCE (USD)</t>
        </is>
      </c>
      <c r="B18" s="3" t="n">
        <v>18200</v>
      </c>
      <c r="C18" s="3" t="n">
        <v>26900</v>
      </c>
      <c r="D18" s="3" t="n">
        <v>38150</v>
      </c>
      <c r="E18" s="3" t="n">
        <v>48300</v>
      </c>
      <c r="F18" s="3" t="n">
        <v>60800</v>
      </c>
      <c r="G18" s="3" t="n">
        <v>74900</v>
      </c>
      <c r="H18" s="3" t="n">
        <v>89900</v>
      </c>
      <c r="I18" s="3" t="n">
        <v>106200</v>
      </c>
      <c r="J18" s="3" t="n">
        <v>123800</v>
      </c>
      <c r="K18" s="3" t="n">
        <v>142850</v>
      </c>
      <c r="L18" s="3" t="n">
        <v>163200</v>
      </c>
      <c r="M18" s="3" t="n">
        <v>186350</v>
      </c>
      <c r="N18" s="9" t="n">
        <v>186350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2026-10-24T09:40:06Z</dcterms:created>
  <dcterms:modified xmlns:dcterms="http://purl.org/dc/terms/" xmlns:xsi="http://www.w3.org/2001/XMLSchema-instance" xsi:type="dcterms:W3CDTF">2026-10-24T09:40:06Z</dcterms:modified>
</cp:coreProperties>
</file>