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ner Equity Waterfal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8" customWidth="1" min="2" max="2"/>
    <col width="18" customWidth="1" min="3" max="3"/>
    <col width="18" customWidth="1" min="4" max="4"/>
    <col width="21" customWidth="1" min="5" max="5"/>
    <col width="24" customWidth="1" min="6" max="6"/>
  </cols>
  <sheetData>
    <row r="1" ht="28" customHeight="1">
      <c r="A1" s="1" t="inlineStr">
        <is>
          <t>Financial Line Item ($USD)</t>
        </is>
      </c>
      <c r="B1" s="1" t="inlineStr">
        <is>
          <t>Q1 2026 Actual</t>
        </is>
      </c>
      <c r="C1" s="1" t="inlineStr">
        <is>
          <t>Q2 2026 Actual</t>
        </is>
      </c>
      <c r="D1" s="1" t="inlineStr">
        <is>
          <t>Q3 2026 Actual</t>
        </is>
      </c>
      <c r="E1" s="1" t="inlineStr">
        <is>
          <t>Q4 2026 Projected</t>
        </is>
      </c>
      <c r="F1" s="1" t="inlineStr">
        <is>
          <t>Full Year 2026 Total</t>
        </is>
      </c>
    </row>
    <row r="2" ht="20" customHeight="1">
      <c r="A2" s="2" t="inlineStr">
        <is>
          <t>Private Luxury Catamaran Charters (Makani 48')</t>
        </is>
      </c>
      <c r="B2" s="3" t="n">
        <v>94500</v>
      </c>
      <c r="C2" s="3" t="n">
        <v>118200</v>
      </c>
      <c r="D2" s="3" t="n">
        <v>142800</v>
      </c>
      <c r="E2" s="3" t="n">
        <v>134000</v>
      </c>
      <c r="F2" s="4">
        <f>SUM(B2:E2)</f>
        <v/>
      </c>
    </row>
    <row r="3" ht="20" customHeight="1">
      <c r="A3" s="5" t="inlineStr">
        <is>
          <t>Flybridge Motor Yacht Charters (Kairos 54')</t>
        </is>
      </c>
      <c r="B3" s="6" t="n">
        <v>78000</v>
      </c>
      <c r="C3" s="6" t="n">
        <v>96500</v>
      </c>
      <c r="D3" s="6" t="n">
        <v>112000</v>
      </c>
      <c r="E3" s="6" t="n">
        <v>108500</v>
      </c>
      <c r="F3" s="7">
        <f>SUM(B3:E3)</f>
        <v/>
      </c>
    </row>
    <row r="4" ht="20" customHeight="1">
      <c r="A4" s="2" t="inlineStr">
        <is>
          <t>Coastal Sunset &amp; Snorkel Charters (Moana 42')</t>
        </is>
      </c>
      <c r="B4" s="3" t="n">
        <v>46200</v>
      </c>
      <c r="C4" s="3" t="n">
        <v>58400</v>
      </c>
      <c r="D4" s="3" t="n">
        <v>68900</v>
      </c>
      <c r="E4" s="3" t="n">
        <v>64200</v>
      </c>
      <c r="F4" s="4">
        <f>SUM(B4:E4)</f>
        <v/>
      </c>
    </row>
    <row r="5" ht="20" customHeight="1">
      <c r="A5" s="5" t="inlineStr">
        <is>
          <t>On-Board Catering, Bar &amp; Provisions Revenue</t>
        </is>
      </c>
      <c r="B5" s="6" t="n">
        <v>28400</v>
      </c>
      <c r="C5" s="6" t="n">
        <v>36200</v>
      </c>
      <c r="D5" s="6" t="n">
        <v>44800</v>
      </c>
      <c r="E5" s="6" t="n">
        <v>41200</v>
      </c>
      <c r="F5" s="7">
        <f>SUM(B5:E5)</f>
        <v/>
      </c>
    </row>
    <row r="6" ht="20" customHeight="1">
      <c r="A6" s="8" t="inlineStr">
        <is>
          <t>TOTAL GROSS CHARTER REVENUE ($USD)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</row>
    <row r="7" ht="20" customHeight="1">
      <c r="A7" s="5" t="inlineStr">
        <is>
          <t>USCG Master Captain &amp; Marine Crew Payroll</t>
        </is>
      </c>
      <c r="B7" s="6" t="n">
        <v>52400</v>
      </c>
      <c r="C7" s="6" t="n">
        <v>64200</v>
      </c>
      <c r="D7" s="6" t="n">
        <v>76800</v>
      </c>
      <c r="E7" s="6" t="n">
        <v>72000</v>
      </c>
      <c r="F7" s="7">
        <f>SUM(B7:E7)</f>
        <v/>
      </c>
    </row>
    <row r="8" ht="20" customHeight="1">
      <c r="A8" s="2" t="inlineStr">
        <is>
          <t>Ala Wai &amp; Ko Olina Marina Slip Mooring Fees</t>
        </is>
      </c>
      <c r="B8" s="3" t="n">
        <v>14800</v>
      </c>
      <c r="C8" s="3" t="n">
        <v>14800</v>
      </c>
      <c r="D8" s="3" t="n">
        <v>14800</v>
      </c>
      <c r="E8" s="3" t="n">
        <v>14800</v>
      </c>
      <c r="F8" s="4">
        <f>SUM(B8:E8)</f>
        <v/>
      </c>
    </row>
    <row r="9" ht="20" customHeight="1">
      <c r="A9" s="5" t="inlineStr">
        <is>
          <t>Marine Diesel &amp; Outboard Fuel Burn</t>
        </is>
      </c>
      <c r="B9" s="6" t="n">
        <v>18200</v>
      </c>
      <c r="C9" s="6" t="n">
        <v>22600</v>
      </c>
      <c r="D9" s="6" t="n">
        <v>28400</v>
      </c>
      <c r="E9" s="6" t="n">
        <v>26100</v>
      </c>
      <c r="F9" s="7">
        <f>SUM(B9:E9)</f>
        <v/>
      </c>
    </row>
    <row r="10" ht="20" customHeight="1">
      <c r="A10" s="2" t="inlineStr">
        <is>
          <t>Vessel Maintenance, Hull Haul-Out &amp; Inspections</t>
        </is>
      </c>
      <c r="B10" s="3" t="n">
        <v>16400</v>
      </c>
      <c r="C10" s="3" t="n">
        <v>12800</v>
      </c>
      <c r="D10" s="3" t="n">
        <v>19200</v>
      </c>
      <c r="E10" s="3" t="n">
        <v>15600</v>
      </c>
      <c r="F10" s="4">
        <f>SUM(B10:E10)</f>
        <v/>
      </c>
    </row>
    <row r="11" ht="20" customHeight="1">
      <c r="A11" s="5" t="inlineStr">
        <is>
          <t>Catering Supplies, Provisions &amp; Florals</t>
        </is>
      </c>
      <c r="B11" s="6" t="n">
        <v>14200</v>
      </c>
      <c r="C11" s="6" t="n">
        <v>18100</v>
      </c>
      <c r="D11" s="6" t="n">
        <v>22400</v>
      </c>
      <c r="E11" s="6" t="n">
        <v>20600</v>
      </c>
      <c r="F11" s="7">
        <f>SUM(B11:E11)</f>
        <v/>
      </c>
    </row>
    <row r="12" ht="20" customHeight="1">
      <c r="A12" s="2" t="inlineStr">
        <is>
          <t>Hull &amp; P&amp;I Commercial Marine Insurance</t>
        </is>
      </c>
      <c r="B12" s="3" t="n">
        <v>9600</v>
      </c>
      <c r="C12" s="3" t="n">
        <v>9600</v>
      </c>
      <c r="D12" s="3" t="n">
        <v>9600</v>
      </c>
      <c r="E12" s="3" t="n">
        <v>9600</v>
      </c>
      <c r="F12" s="4">
        <f>SUM(B12:E12)</f>
        <v/>
      </c>
    </row>
    <row r="13" ht="20" customHeight="1">
      <c r="A13" s="8" t="inlineStr">
        <is>
          <t>TOTAL OPERATING DIRECT EXPENSES ($USD)</t>
        </is>
      </c>
      <c r="B13" s="8">
        <f>SUM(B7:B12)</f>
        <v/>
      </c>
      <c r="C13" s="8">
        <f>SUM(C7:C12)</f>
        <v/>
      </c>
      <c r="D13" s="8">
        <f>SUM(D7:D12)</f>
        <v/>
      </c>
      <c r="E13" s="8">
        <f>SUM(E7:E12)</f>
        <v/>
      </c>
      <c r="F13" s="8">
        <f>SUM(F7:F12)</f>
        <v/>
      </c>
    </row>
    <row r="14" ht="20" customHeight="1">
      <c r="A14" s="2" t="inlineStr">
        <is>
          <t>NET DISTRIBUTABLE CHARTER EARNINGS ($USD)</t>
        </is>
      </c>
      <c r="B14" s="4">
        <f>B6-B13</f>
        <v/>
      </c>
      <c r="C14" s="4">
        <f>C6-C13</f>
        <v/>
      </c>
      <c r="D14" s="4">
        <f>D6-D13</f>
        <v/>
      </c>
      <c r="E14" s="4">
        <f>E6-E13</f>
        <v/>
      </c>
      <c r="F14" s="4">
        <f>F6-F13)</f>
        <v/>
      </c>
    </row>
    <row r="15" ht="20" customHeight="1">
      <c r="A15" s="5" t="inlineStr">
        <is>
          <t>8.0% Preferred Return to Class A Limited Partners</t>
        </is>
      </c>
      <c r="B15" s="6" t="n">
        <v>24000</v>
      </c>
      <c r="C15" s="6" t="n">
        <v>24000</v>
      </c>
      <c r="D15" s="6" t="n">
        <v>24000</v>
      </c>
      <c r="E15" s="6" t="n">
        <v>24000</v>
      </c>
      <c r="F15" s="7">
        <f>SUM(B15:E15)</f>
        <v/>
      </c>
    </row>
    <row r="16" ht="20" customHeight="1">
      <c r="A16" s="2" t="inlineStr">
        <is>
          <t>Remaining Cash Distributable to GP / LP Split</t>
        </is>
      </c>
      <c r="B16" s="4">
        <f>B14-B15</f>
        <v/>
      </c>
      <c r="C16" s="4">
        <f>C14-C15</f>
        <v/>
      </c>
      <c r="D16" s="4">
        <f>D14-D15</f>
        <v/>
      </c>
      <c r="E16" s="4">
        <f>E14-E15</f>
        <v/>
      </c>
      <c r="F16" s="4">
        <f>F14-F15</f>
        <v/>
      </c>
    </row>
    <row r="17" ht="20" customHeight="1">
      <c r="A17" s="5" t="inlineStr">
        <is>
          <t>Class A LP Share (70% Tier)</t>
        </is>
      </c>
      <c r="B17" s="7">
        <f>B16*0.7</f>
        <v/>
      </c>
      <c r="C17" s="7">
        <f>C16*0.7</f>
        <v/>
      </c>
      <c r="D17" s="7">
        <f>D16*0.7</f>
        <v/>
      </c>
      <c r="E17" s="7">
        <f>E16*0.7</f>
        <v/>
      </c>
      <c r="F17" s="7">
        <f>F16*0.7</f>
        <v/>
      </c>
    </row>
    <row r="18" ht="20" customHeight="1">
      <c r="A18" s="2" t="inlineStr">
        <is>
          <t>General Partner Operating Share (30% Tier)</t>
        </is>
      </c>
      <c r="B18" s="4">
        <f>B16*0.3</f>
        <v/>
      </c>
      <c r="C18" s="4">
        <f>C16*0.3</f>
        <v/>
      </c>
      <c r="D18" s="4">
        <f>D16*0.3</f>
        <v/>
      </c>
      <c r="E18" s="4">
        <f>E16*0.3</f>
        <v/>
      </c>
      <c r="F18" s="4">
        <f>F16*0.3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SHA256:16a1877238e378acc0663eb5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SHA256:29ba68b09c26ae469c39d338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SHA256:696f5851acabf5037301cfe5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SHA256:bac686537f5e6f9dc2e93fa4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SHA256:2c6833e8beb5d1b2a7947269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SHA256:b0444395f2b6570b8b03ff55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SHA256:d93251c982dae8a012faf61d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SHA256:a1de20988883e2ca5c91f1fe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SHA256:a60eec17ec1660c8fa45c03b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SHA256:02daf8baa0954098fc36ebde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SHA256:f04c060b45dc00c2d2b0afd3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SHA256:22b58be3d8e841f17cdbdbb1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SHA256:0876224bcb0b3387db4709da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SHA256:9e8aa6946cd2c2dd0414993b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SHA256:7b260c6cd0a28b85575e1b5a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SHA256:98f531c9051a7b9733dfb089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SHA256:459d4d1da401ac3ae3178439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SHA256:7136e36cb35fad9ce2c6528c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SHA256:add613065a9d0a24c5d84561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SHA256:32fb1708a5600015a3f361e9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SHA256:9514216ca9a8dd55ae593a19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SHA256:40d04222f3a38e0bef7a89ed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SHA256:2b4698f3d6977cd137b911c3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SHA256:92494db38e7be33d3522fa1a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SHA256:be06a7522b03eee514eea865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SHA256:47d33946b09fcb4c5541336f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SHA256:ae33cf42f6ca147e2513db05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SHA256:a58fa31e2de85dcf18a489ee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SHA256:7fcca84f19a92160b3197e3d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SHA256:47dc8b3bd78c5bff0368da71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SHA256:f4f0bdd5607ac352d3c0a2b0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SHA256:761205881304e9a30ffa1913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SHA256:2db77a87f9d847491e1e0c8a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SHA256:12b6736938de0af00be6d015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SHA256:c681309675240ec9b07ccb31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SHA256:9949790a769ca5d476017aff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SHA256:2262db0553e0ca2e328d9760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SHA256:5f184ca680a3cf0ee6cba573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SHA256:d7245de135c48aaa03d45ac5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SHA256:5fdceb28a95de803a6f7fdf0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SHA256:df05e1f98e22afbeab008638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SHA256:a79a19ab09e39a0dccbd7588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SHA256:ca00ec0c8bd96645ea92e056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SHA256:f46028c318fbf7aebc194969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SHA256:33f709b9ded9559f7b927c05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SHA256:9a6c0b3ddd1cabda989846c3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SHA256:d7214a40736f810ef1742b43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SHA256:fa714da9a4b289e5da766cf6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SHA256:2f6a6a32bf2947fecb24d2fd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SHA256:a3912f93d2e9dc97878c0b8a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SHA256:5f104002d1a64f93adf9daa9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SHA256:dd011ce71f981d3d84262391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SHA256:aa0579b60bbc5b0027b18d11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SHA256:f4be8a2ba29152047b8db67d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SHA256:e1950d77a017399159eb1b2e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SHA256:28d6a232725dd2bf820c8738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SHA256:01c2a009889ee6857d1482cb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SHA256:da820e578226431b9ee5351c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SHA256:5878045ddf51487a2e9983a8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SHA256:ebb06cc0a0c384d36c9fd930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SHA256:60a41cc21cc97af5ffc4b7c7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SHA256:8eb8305b27f830c5a4ba4213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SHA256:a109f706bb1ec439f192e5c6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SHA256:91f3641e0b05dab997d84fd3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SHA256:fff438b43016be4a281b2ad4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SHA256:c5a70f8735e322a4999fe75c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SHA256:a129ee1a5b92137f93ff1de7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SHA256:d827f3859db8e039e9fa6310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SHA256:be0065a3b2eb6b87f7f51c70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SHA256:f240ec6b32dfbc01dbdd8fe6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SHA256:1ace3f96da11a35a61bf5901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SHA256:d52bfa4e194970a633540185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SHA256:2bf1e1ff794deaf88c91fd17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SHA256:fb1f0f210bcfe5652e1648f1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SHA256:9a0e562e6f2054956b5774d9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SHA256:63fbca4c073018c060507cf9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SHA256:50d516058fdd283db9beebd2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SHA256:6954bfb8f355413f535b6318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SHA256:622c3f05836fd40def43483e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SHA256:75d97e9ee633e2ab5c8c4189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SHA256:d83ea08f34c642b77cbe72c9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SHA256:4a4acd6d5f7bd682ee7f45df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SHA256:577acd7a8e90fbaeddcb88f0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SHA256:4d12b5ecbb3424e754624649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SHA256:4236f0c87b288c7a68d122a6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SHA256:7e765705f6cb5b2ccd1bc435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SHA256:5a1dcf02fc19876fd4791c13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SHA256:1823fe41bbe4ca6071f4bfb9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SHA256:1183ffebca022e7fc276b864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SHA256:c7f96c430ec00829e803a8d6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SHA256:0ebe79ce7c6bead4a952a585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SHA256:19b4ac236d2e18194e415398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SHA256:3a0059d02a119da1d66e492c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SHA256:4a190490eed07b8f7fdd1a42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SHA256:61b2bdb11deab468d8dd4472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SHA256:12b8a6ea4d389e1c28cb9711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SHA256:095de46c1c99dcf47ac85919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SHA256:3d2149900b59db20ace316ee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SHA256:6c6291446b21ff7bb47185bb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SHA256:c92fff4982a485bbc6de7f3c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SHA256:a52957c930a924e8a5617b13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SHA256:990a286b7284710b829a16c2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SHA256:173b6e26611e7ba19608fab2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SHA256:b53bc1f5199d8b0cd9b2d9ce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SHA256:3cd59506c843dad6d287fe04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SHA256:c3d2e7e9397e4463ff6ea243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SHA256:ade7ec4468789f84620511d4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SHA256:db2aef7acf191a782b390087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SHA256:c8334ce7591256fe9cb89d93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2026-10-29T15:16:43Z</dcterms:created>
  <dcterms:modified xmlns:dcterms="http://purl.org/dc/terms/" xmlns:xsi="http://www.w3.org/2001/XMLSchema-instance" xsi:type="dcterms:W3CDTF">2026-10-29T15:16:44Z</dcterms:modified>
</cp:coreProperties>
</file>