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artner_Distribution_Model" sheetId="1" r:id="rId1"/>
    <sheet name="12_Month_Cash_Flow_Forecast" sheetId="2" r:id="rId2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>
  <sheetData>
    <row r="1">
      <c r="A1" t="inlineStr">
        <is>
          <t>Property Entity</t>
        </is>
      </c>
      <c r="B1" t="inlineStr">
        <is>
          <t>Gross Rent (USD)</t>
        </is>
      </c>
      <c r="C1" t="inlineStr">
        <is>
          <t>Operating Expense</t>
        </is>
      </c>
      <c r="D1" t="inlineStr">
        <is>
          <t>HOA Dues</t>
        </is>
      </c>
      <c r="E1" t="inlineStr">
        <is>
          <t>Property Tax</t>
        </is>
      </c>
      <c r="F1" t="inlineStr">
        <is>
          <t>Net Cash Flow</t>
        </is>
      </c>
      <c r="G1" t="inlineStr">
        <is>
          <t>Carollo 50% Share</t>
        </is>
      </c>
      <c r="H1" t="inlineStr">
        <is>
          <t>Partner 50% Share</t>
        </is>
      </c>
    </row>
    <row r="2">
      <c r="A2" t="inlineStr">
        <is>
          <t>Waikiki Banyan Unit 4B (Q3)</t>
        </is>
      </c>
      <c r="B2">
        <v>10200.0</v>
      </c>
      <c r="C2">
        <v>1680.0</v>
      </c>
      <c r="D2">
        <v>2070.0</v>
      </c>
      <c r="E2">
        <v>840.0</v>
      </c>
      <c r="F2">
        <f>B2-C2-D2-E2</f>
      </c>
      <c r="G2">
        <f>F2*0.5</f>
      </c>
      <c r="H2">
        <f>F2*0.5</f>
      </c>
    </row>
    <row r="3">
      <c r="A3" t="inlineStr">
        <is>
          <t>Ala Moana Pacific Unit 12A (Q3)</t>
        </is>
      </c>
      <c r="B3">
        <v>12300.0</v>
      </c>
      <c r="C3">
        <v>2140.0</v>
      </c>
      <c r="D3">
        <v>2430.0</v>
      </c>
      <c r="E3">
        <v>1020.0</v>
      </c>
      <c r="F3">
        <f>B3-C3-D3-E3</f>
      </c>
      <c r="G3">
        <f>F3*0.5</f>
      </c>
      <c r="H3">
        <f>F3*0.5</f>
      </c>
    </row>
    <row r="4">
      <c r="A4" t="inlineStr">
        <is>
          <t>Total Portfolio Distribution</t>
        </is>
      </c>
      <c r="B4">
        <f>SUM(B2:B3)</f>
      </c>
      <c r="C4">
        <f>SUM(C2:C3)</f>
      </c>
      <c r="D4">
        <f>SUM(D2:D3)</f>
      </c>
      <c r="E4">
        <f>SUM(E2:E3)</f>
      </c>
      <c r="F4">
        <f>SUM(F2:F3)</f>
      </c>
      <c r="G4">
        <f>SUM(G2:G3)</f>
      </c>
      <c r="H4">
        <f>SUM(H2:H3)</f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Month</t>
        </is>
      </c>
      <c r="B1" t="inlineStr">
        <is>
          <t>Gross Rent</t>
        </is>
      </c>
      <c r="C1" t="inlineStr">
        <is>
          <t>Maintenance</t>
        </is>
      </c>
      <c r="D1" t="inlineStr">
        <is>
          <t>HOA &amp; Dues</t>
        </is>
      </c>
      <c r="E1" t="inlineStr">
        <is>
          <t>Net Cash Flow</t>
        </is>
      </c>
    </row>
    <row r="2">
      <c r="A2" t="inlineStr">
        <is>
          <t>Month 1</t>
        </is>
      </c>
      <c r="B2">
        <v>7500.0</v>
      </c>
      <c r="C2">
        <v>850.0</v>
      </c>
      <c r="D2">
        <v>1500.0</v>
      </c>
      <c r="E2">
        <f>B2-C2-D2</f>
      </c>
    </row>
    <row r="3">
      <c r="A3" t="inlineStr">
        <is>
          <t>Month 2</t>
        </is>
      </c>
      <c r="B3">
        <v>7500.0</v>
      </c>
      <c r="C3">
        <v>600.0</v>
      </c>
      <c r="D3">
        <v>1500.0</v>
      </c>
      <c r="E3">
        <f>B3-C3-D3</f>
      </c>
    </row>
    <row r="4">
      <c r="A4" t="inlineStr">
        <is>
          <t>Month 3</t>
        </is>
      </c>
      <c r="B4">
        <v>7500.0</v>
      </c>
      <c r="C4">
        <v>920.0</v>
      </c>
      <c r="D4">
        <v>1500.0</v>
      </c>
      <c r="E4">
        <f>B4-C4-D4</f>
      </c>
    </row>
    <row r="5">
      <c r="A5" t="inlineStr">
        <is>
          <t>Full Quarter 1 Total</t>
        </is>
      </c>
      <c r="B5">
        <f>SUM(B2:B4)</f>
      </c>
      <c r="C5">
        <f>SUM(C2:C4)</f>
      </c>
      <c r="D5">
        <f>SUM(D2:D4)</f>
      </c>
      <c r="E5">
        <f>SUM(E2:E4)</f>
      </c>
    </row>
  </sheetData>
</worksheet>
</file>