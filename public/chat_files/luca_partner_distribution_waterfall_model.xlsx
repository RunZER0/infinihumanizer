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_Distribution_Model" sheetId="1" state="visible" r:id="rId1"/>
    <sheet xmlns:r="http://schemas.openxmlformats.org/officeDocument/2006/relationships" name="12_Month_Cash_Flow_Forecast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5" customWidth="1" min="1" max="1"/>
    <col width="20" customWidth="1" min="2" max="2"/>
    <col width="21" customWidth="1" min="3" max="3"/>
    <col width="15" customWidth="1" min="4" max="4"/>
    <col width="16" customWidth="1" min="5" max="5"/>
    <col width="17" customWidth="1" min="6" max="6"/>
    <col width="21" customWidth="1" min="7" max="7"/>
    <col width="21" customWidth="1" min="8" max="8"/>
  </cols>
  <sheetData>
    <row r="1" ht="28" customHeight="1">
      <c r="A1" s="1" t="inlineStr">
        <is>
          <t>Property Entity</t>
        </is>
      </c>
      <c r="B1" s="1" t="inlineStr">
        <is>
          <t>Gross Rent (USD)</t>
        </is>
      </c>
      <c r="C1" s="1" t="inlineStr">
        <is>
          <t>Operating Expense</t>
        </is>
      </c>
      <c r="D1" s="1" t="inlineStr">
        <is>
          <t>HOA Dues</t>
        </is>
      </c>
      <c r="E1" s="1" t="inlineStr">
        <is>
          <t>Property Tax</t>
        </is>
      </c>
      <c r="F1" s="1" t="inlineStr">
        <is>
          <t>Net Cash Flow</t>
        </is>
      </c>
      <c r="G1" s="1" t="inlineStr">
        <is>
          <t>Carollo 50% Share</t>
        </is>
      </c>
      <c r="H1" s="1" t="inlineStr">
        <is>
          <t>Partner 50% Share</t>
        </is>
      </c>
    </row>
    <row r="2" ht="20" customHeight="1">
      <c r="A2" s="2" t="inlineStr">
        <is>
          <t>Waikiki Banyan Unit 4B (Q3)</t>
        </is>
      </c>
      <c r="B2" s="3" t="n">
        <v>10200</v>
      </c>
      <c r="C2" s="4" t="n">
        <v>1680</v>
      </c>
      <c r="D2" s="4" t="n">
        <v>2070</v>
      </c>
      <c r="E2" s="4" t="n">
        <v>840</v>
      </c>
      <c r="F2" s="5">
        <f>B2-C2-D2-E2</f>
        <v/>
      </c>
      <c r="G2" s="5">
        <f>F2*0.5</f>
        <v/>
      </c>
      <c r="H2" s="5">
        <f>F2*0.5</f>
        <v/>
      </c>
    </row>
    <row r="3" ht="20" customHeight="1">
      <c r="A3" s="6" t="inlineStr">
        <is>
          <t>Ala Moana Pacific Unit 12A (Q3)</t>
        </is>
      </c>
      <c r="B3" s="7" t="n">
        <v>12300</v>
      </c>
      <c r="C3" s="8" t="n">
        <v>2140</v>
      </c>
      <c r="D3" s="8" t="n">
        <v>2430</v>
      </c>
      <c r="E3" s="8" t="n">
        <v>1020</v>
      </c>
      <c r="F3" s="9">
        <f>B3-C3-D3-E3</f>
        <v/>
      </c>
      <c r="G3" s="9">
        <f>F3*0.5</f>
        <v/>
      </c>
      <c r="H3" s="9">
        <f>F3*0.5</f>
        <v/>
      </c>
    </row>
    <row r="4" ht="20" customHeight="1">
      <c r="A4" s="10" t="inlineStr">
        <is>
          <t>Total Portfolio Distribution</t>
        </is>
      </c>
      <c r="B4" s="10">
        <f>SUM(B2:B3)</f>
        <v/>
      </c>
      <c r="C4" s="10">
        <f>SUM(C2:C3)</f>
        <v/>
      </c>
      <c r="D4" s="10">
        <f>SUM(D2:D3)</f>
        <v/>
      </c>
      <c r="E4" s="10">
        <f>SUM(E2:E3)</f>
        <v/>
      </c>
      <c r="F4" s="10">
        <f>SUM(F2:F3)</f>
        <v/>
      </c>
      <c r="G4" s="10">
        <f>SUM(G2:G3)</f>
        <v/>
      </c>
      <c r="H4" s="10">
        <f>SUM(H2:H3)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5" customWidth="1" min="2" max="2"/>
    <col width="15" customWidth="1" min="3" max="3"/>
    <col width="15" customWidth="1" min="4" max="4"/>
    <col width="17" customWidth="1" min="5" max="5"/>
  </cols>
  <sheetData>
    <row r="1" ht="28" customHeight="1">
      <c r="A1" s="1" t="inlineStr">
        <is>
          <t>Month</t>
        </is>
      </c>
      <c r="B1" s="1" t="inlineStr">
        <is>
          <t>Gross Rent</t>
        </is>
      </c>
      <c r="C1" s="1" t="inlineStr">
        <is>
          <t>Maintenance</t>
        </is>
      </c>
      <c r="D1" s="1" t="inlineStr">
        <is>
          <t>HOA &amp; Dues</t>
        </is>
      </c>
      <c r="E1" s="1" t="inlineStr">
        <is>
          <t>Net Cash Flow</t>
        </is>
      </c>
    </row>
    <row r="2" ht="20" customHeight="1">
      <c r="A2" s="2" t="inlineStr">
        <is>
          <t>Month 1</t>
        </is>
      </c>
      <c r="B2" s="4" t="n">
        <v>7500</v>
      </c>
      <c r="C2" s="4" t="n">
        <v>850</v>
      </c>
      <c r="D2" s="4" t="n">
        <v>1500</v>
      </c>
      <c r="E2" s="5">
        <f>B2-C2-D2</f>
        <v/>
      </c>
    </row>
    <row r="3" ht="20" customHeight="1">
      <c r="A3" s="6" t="inlineStr">
        <is>
          <t>Month 2</t>
        </is>
      </c>
      <c r="B3" s="8" t="n">
        <v>7500</v>
      </c>
      <c r="C3" s="8" t="n">
        <v>600</v>
      </c>
      <c r="D3" s="8" t="n">
        <v>1500</v>
      </c>
      <c r="E3" s="9">
        <f>B3-C3-D3</f>
        <v/>
      </c>
    </row>
    <row r="4" ht="20" customHeight="1">
      <c r="A4" s="2" t="inlineStr">
        <is>
          <t>Month 3</t>
        </is>
      </c>
      <c r="B4" s="4" t="n">
        <v>7500</v>
      </c>
      <c r="C4" s="4" t="n">
        <v>920</v>
      </c>
      <c r="D4" s="4" t="n">
        <v>1500</v>
      </c>
      <c r="E4" s="5">
        <f>B4-C4-D4</f>
        <v/>
      </c>
    </row>
    <row r="5" ht="20" customHeight="1">
      <c r="A5" s="6" t="inlineStr">
        <is>
          <t>Full Quarter 1 Total</t>
        </is>
      </c>
      <c r="B5" s="9">
        <f>SUM(B2:B4)</f>
        <v/>
      </c>
      <c r="C5" s="9">
        <f>SUM(C2:C4)</f>
        <v/>
      </c>
      <c r="D5" s="9">
        <f>SUM(D2:D4)</f>
        <v/>
      </c>
      <c r="E5" s="9">
        <f>SUM(E2:E4)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SHA256:16a1877238e378acc0663eb5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SHA256:29ba68b09c26ae469c39d338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SHA256:696f5851acabf5037301cfe5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SHA256:bac686537f5e6f9dc2e93fa4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SHA256:2c6833e8beb5d1b2a7947269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SHA256:b0444395f2b6570b8b03ff55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SHA256:d93251c982dae8a012faf61d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SHA256:a1de20988883e2ca5c91f1fe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SHA256:a60eec17ec1660c8fa45c03b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SHA256:02daf8baa0954098fc36ebde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SHA256:f04c060b45dc00c2d2b0afd3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SHA256:22b58be3d8e841f17cdbdbb1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SHA256:0876224bcb0b3387db4709da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SHA256:9e8aa6946cd2c2dd0414993b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SHA256:7b260c6cd0a28b85575e1b5a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SHA256:98f531c9051a7b9733dfb089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SHA256:459d4d1da401ac3ae3178439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SHA256:7136e36cb35fad9ce2c6528c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SHA256:add613065a9d0a24c5d84561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SHA256:32fb1708a5600015a3f361e9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SHA256:9514216ca9a8dd55ae593a19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SHA256:40d04222f3a38e0bef7a89ed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SHA256:2b4698f3d6977cd137b911c3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SHA256:92494db38e7be33d3522fa1a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SHA256:be06a7522b03eee514eea865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SHA256:47d33946b09fcb4c5541336f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SHA256:ae33cf42f6ca147e2513db05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SHA256:a58fa31e2de85dcf18a489ee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SHA256:7fcca84f19a92160b3197e3d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SHA256:47dc8b3bd78c5bff0368da71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SHA256:f4f0bdd5607ac352d3c0a2b0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SHA256:761205881304e9a30ffa1913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SHA256:2db77a87f9d847491e1e0c8a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SHA256:12b6736938de0af00be6d015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SHA256:c681309675240ec9b07ccb31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SHA256:9949790a769ca5d476017aff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SHA256:2262db0553e0ca2e328d9760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SHA256:5f184ca680a3cf0ee6cba573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SHA256:d7245de135c48aaa03d45ac5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SHA256:5fdceb28a95de803a6f7fdf0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SHA256:df05e1f98e22afbeab008638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SHA256:a79a19ab09e39a0dccbd7588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SHA256:ca00ec0c8bd96645ea92e056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SHA256:f46028c318fbf7aebc194969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SHA256:33f709b9ded9559f7b927c05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SHA256:9a6c0b3ddd1cabda989846c3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SHA256:d7214a40736f810ef1742b43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SHA256:fa714da9a4b289e5da766cf6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SHA256:2f6a6a32bf2947fecb24d2fd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SHA256:a3912f93d2e9dc97878c0b8a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SHA256:5f104002d1a64f93adf9daa9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SHA256:dd011ce71f981d3d84262391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SHA256:aa0579b60bbc5b0027b18d11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SHA256:f4be8a2ba29152047b8db67d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SHA256:e1950d77a017399159eb1b2e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SHA256:28d6a232725dd2bf820c8738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SHA256:01c2a009889ee6857d1482cb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SHA256:da820e578226431b9ee5351c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SHA256:5878045ddf51487a2e9983a8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SHA256:ebb06cc0a0c384d36c9fd930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SHA256:60a41cc21cc97af5ffc4b7c7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SHA256:8eb8305b27f830c5a4ba4213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SHA256:a109f706bb1ec439f192e5c6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SHA256:91f3641e0b05dab997d84fd3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SHA256:fff438b43016be4a281b2ad4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SHA256:c5a70f8735e322a4999fe75c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SHA256:a129ee1a5b92137f93ff1de7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SHA256:d827f3859db8e039e9fa6310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SHA256:be0065a3b2eb6b87f7f51c70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SHA256:f240ec6b32dfbc01dbdd8fe6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SHA256:1ace3f96da11a35a61bf5901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SHA256:d52bfa4e194970a633540185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SHA256:2bf1e1ff794deaf88c91fd17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SHA256:fb1f0f210bcfe5652e1648f1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SHA256:9a0e562e6f2054956b5774d9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SHA256:63fbca4c073018c060507cf9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SHA256:50d516058fdd283db9beebd2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SHA256:6954bfb8f355413f535b6318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SHA256:622c3f05836fd40def43483e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SHA256:75d97e9ee633e2ab5c8c4189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SHA256:d83ea08f34c642b77cbe72c9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SHA256:4a4acd6d5f7bd682ee7f45df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SHA256:577acd7a8e90fbaeddcb88f0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SHA256:4d12b5ecbb3424e754624649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SHA256:4236f0c87b288c7a68d122a6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SHA256:7e765705f6cb5b2ccd1bc435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SHA256:5a1dcf02fc19876fd4791c13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SHA256:1823fe41bbe4ca6071f4bfb9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SHA256:1183ffebca022e7fc276b864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SHA256:c7f96c430ec00829e803a8d6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SHA256:0ebe79ce7c6bead4a952a585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SHA256:19b4ac236d2e18194e415398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SHA256:3a0059d02a119da1d66e492c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SHA256:4a190490eed07b8f7fdd1a42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SHA256:61b2bdb11deab468d8dd4472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SHA256:12b8a6ea4d389e1c28cb9711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SHA256:095de46c1c99dcf47ac85919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SHA256:3d2149900b59db20ace316ee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SHA256:6c6291446b21ff7bb47185bb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SHA256:c92fff4982a485bbc6de7f3c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SHA256:a52957c930a924e8a5617b13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SHA256:990a286b7284710b829a16c2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SHA256:173b6e26611e7ba19608fab2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SHA256:b53bc1f5199d8b0cd9b2d9ce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SHA256:3cd59506c843dad6d287fe04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SHA256:c3d2e7e9397e4463ff6ea243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SHA256:ade7ec4468789f84620511d4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SHA256:db2aef7acf191a782b390087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SHA256:c8334ce7591256fe9cb89d93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2026-10-28T04:33:38Z</dcterms:created>
  <dcterms:modified xmlns:dcterms="http://purl.org/dc/terms/" xmlns:xsi="http://www.w3.org/2001/XMLSchema-instance" xsi:type="dcterms:W3CDTF">2026-10-28T04:33:38Z</dcterms:modified>
</cp:coreProperties>
</file>