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tlantic_Dispatch_&amp;_Fuel_Model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 t="inlineStr">
        <is>
          <t>Trip #</t>
        </is>
      </c>
      <c r="B1" t="inlineStr">
        <is>
          <t>Driver</t>
        </is>
      </c>
      <c r="C1" t="inlineStr">
        <is>
          <t>Origin / Dest</t>
        </is>
      </c>
      <c r="D1" t="inlineStr">
        <is>
          <t>Mileage (KM)</t>
        </is>
      </c>
      <c r="E1" t="inlineStr">
        <is>
          <t>Fuel Burn (CAD)</t>
        </is>
      </c>
      <c r="F1" t="inlineStr">
        <is>
          <t>Marine Atlantic Ferry</t>
        </is>
      </c>
      <c r="G1" t="inlineStr">
        <is>
          <t>Driver Pay ($0.60/km)</t>
        </is>
      </c>
      <c r="H1" t="inlineStr">
        <is>
          <t>Client Billing</t>
        </is>
      </c>
      <c r="I1" t="inlineStr">
        <is>
          <t>Net Profit</t>
        </is>
      </c>
      <c r="J1" t="inlineStr">
        <is>
          <t>Margin %</t>
        </is>
      </c>
    </row>
    <row r="2">
      <c r="A2" t="inlineStr">
        <is>
          <t>TR-401</t>
        </is>
      </c>
      <c r="B2" t="inlineStr">
        <is>
          <t>G. O'Brien</t>
        </is>
      </c>
      <c r="C2" t="inlineStr">
        <is>
          <t>St. John's → Corner Brook</t>
        </is>
      </c>
      <c r="D2">
        <v>685</v>
      </c>
      <c r="E2">
        <v>533.6</v>
      </c>
      <c r="F2">
        <v>0.0</v>
      </c>
      <c r="G2">
        <f>D2*0.60</f>
      </c>
      <c r="H2">
        <v>1680.0</v>
      </c>
      <c r="I2">
        <f>H2-E2-F2-G2</f>
      </c>
      <c r="J2">
        <f>I2/H2</f>
      </c>
    </row>
    <row r="3">
      <c r="A3" t="inlineStr">
        <is>
          <t>TR-402</t>
        </is>
      </c>
      <c r="B3" t="inlineStr">
        <is>
          <t>M. Walsh</t>
        </is>
      </c>
      <c r="C3" t="inlineStr">
        <is>
          <t>Corner Brook → Port aux Basques</t>
        </is>
      </c>
      <c r="D3">
        <v>220</v>
      </c>
      <c r="E3">
        <v>176.7</v>
      </c>
      <c r="F3">
        <v>420.0</v>
      </c>
      <c r="G3">
        <f>D3*0.60</f>
      </c>
      <c r="H3">
        <v>1150.0</v>
      </c>
      <c r="I3">
        <f>H3-E3-F3-G3</f>
      </c>
      <c r="J3">
        <f>I3/H3</f>
      </c>
    </row>
    <row r="4">
      <c r="A4" t="inlineStr">
        <is>
          <t>TR-403</t>
        </is>
      </c>
      <c r="B4" t="inlineStr">
        <is>
          <t>C. Power</t>
        </is>
      </c>
      <c r="C4" t="inlineStr">
        <is>
          <t>St. John's → Gander</t>
        </is>
      </c>
      <c r="D4">
        <v>335</v>
      </c>
      <c r="E4">
        <v>266.8</v>
      </c>
      <c r="F4">
        <v>0.0</v>
      </c>
      <c r="G4">
        <f>D4*0.60</f>
      </c>
      <c r="H4">
        <v>890.0</v>
      </c>
      <c r="I4">
        <f>H4-E4-F4-G4</f>
      </c>
      <c r="J4">
        <f>I4/H4</f>
      </c>
    </row>
    <row r="5">
      <c r="A5" t="inlineStr">
        <is>
          <t>TR-404</t>
        </is>
      </c>
      <c r="B5" t="inlineStr">
        <is>
          <t>G. O'Brien</t>
        </is>
      </c>
      <c r="C5" t="inlineStr">
        <is>
          <t>Gander → Grand Falls-Windsor</t>
        </is>
      </c>
      <c r="D5">
        <v>95</v>
      </c>
      <c r="E5">
        <v>76.5</v>
      </c>
      <c r="F5">
        <v>0.0</v>
      </c>
      <c r="G5">
        <f>D5*0.60</f>
      </c>
      <c r="H5">
        <v>380.0</v>
      </c>
      <c r="I5">
        <f>H5-E5-F5-G5</f>
      </c>
      <c r="J5">
        <f>I5/H5</f>
      </c>
    </row>
    <row r="6">
      <c r="A6" t="inlineStr">
        <is>
          <t>TR-405</t>
        </is>
      </c>
      <c r="B6" t="inlineStr">
        <is>
          <t>D. Murphy</t>
        </is>
      </c>
      <c r="C6" t="inlineStr">
        <is>
          <t>Port aux Basques → North Sydney</t>
        </is>
      </c>
      <c r="D6">
        <v>180</v>
      </c>
      <c r="E6">
        <v>144.0</v>
      </c>
      <c r="F6">
        <v>680.0</v>
      </c>
      <c r="G6">
        <f>D6*0.60</f>
      </c>
      <c r="H6">
        <v>1820.0</v>
      </c>
      <c r="I6">
        <f>H6-E6-F6-G6</f>
      </c>
      <c r="J6">
        <f>I6/H6</f>
      </c>
    </row>
    <row r="7">
      <c r="A7" t="inlineStr">
        <is>
          <t>TOTALS / AVG</t>
        </is>
      </c>
      <c r="B7" t="inlineStr">
        <is>
          <t>Atlantic Fleet Summary</t>
        </is>
      </c>
      <c r="C7" t="inlineStr">
        <is>
          <t/>
        </is>
      </c>
      <c r="D7">
        <f>SUM(D2:D6)</f>
      </c>
      <c r="E7">
        <f>SUM(E2:E6)</f>
      </c>
      <c r="F7">
        <f>SUM(F2:F6)</f>
      </c>
      <c r="G7">
        <f>SUM(G2:G6)</f>
      </c>
      <c r="H7">
        <f>SUM(H2:H6)</f>
      </c>
      <c r="I7">
        <f>SUM(I2:I6)</f>
      </c>
      <c r="J7">
        <f>AVERAGE(J2:J6)</f>
      </c>
    </row>
  </sheetData>
</worksheet>
</file>