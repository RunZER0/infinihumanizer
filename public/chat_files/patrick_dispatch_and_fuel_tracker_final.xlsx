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lantic_Dispatch_&amp;_Fuel_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6" customWidth="1" min="2" max="2"/>
    <col width="35" customWidth="1" min="3" max="3"/>
    <col width="16" customWidth="1" min="4" max="4"/>
    <col width="19" customWidth="1" min="5" max="5"/>
    <col width="25" customWidth="1" min="6" max="6"/>
    <col width="25" customWidth="1" min="7" max="7"/>
    <col width="18" customWidth="1" min="8" max="8"/>
    <col width="16" customWidth="1" min="9" max="9"/>
    <col width="19" customWidth="1" min="10" max="10"/>
  </cols>
  <sheetData>
    <row r="1" ht="28" customHeight="1">
      <c r="A1" s="1" t="inlineStr">
        <is>
          <t>Trip #</t>
        </is>
      </c>
      <c r="B1" s="1" t="inlineStr">
        <is>
          <t>Driver</t>
        </is>
      </c>
      <c r="C1" s="1" t="inlineStr">
        <is>
          <t>Origin / Dest</t>
        </is>
      </c>
      <c r="D1" s="1" t="inlineStr">
        <is>
          <t>Mileage (KM)</t>
        </is>
      </c>
      <c r="E1" s="1" t="inlineStr">
        <is>
          <t>Fuel Burn (CAD)</t>
        </is>
      </c>
      <c r="F1" s="1" t="inlineStr">
        <is>
          <t>Marine Atlantic Ferry</t>
        </is>
      </c>
      <c r="G1" s="1" t="inlineStr">
        <is>
          <t>Driver Pay ($0.60/km)</t>
        </is>
      </c>
      <c r="H1" s="1" t="inlineStr">
        <is>
          <t>Client Billing</t>
        </is>
      </c>
      <c r="I1" s="1" t="inlineStr">
        <is>
          <t>Net Profit</t>
        </is>
      </c>
      <c r="J1" s="1" t="inlineStr">
        <is>
          <t>Margin %</t>
        </is>
      </c>
    </row>
    <row r="2" ht="20" customHeight="1">
      <c r="A2" s="2" t="inlineStr">
        <is>
          <t>TR-401</t>
        </is>
      </c>
      <c r="B2" s="3" t="inlineStr">
        <is>
          <t>G. O'Brien</t>
        </is>
      </c>
      <c r="C2" s="3" t="inlineStr">
        <is>
          <t>St. John's → Corner Brook</t>
        </is>
      </c>
      <c r="D2" s="4" t="n">
        <v>685</v>
      </c>
      <c r="E2" s="5" t="n">
        <v>533.6</v>
      </c>
      <c r="F2" s="4" t="n">
        <v>0</v>
      </c>
      <c r="G2" s="3">
        <f>D2*0.60</f>
        <v/>
      </c>
      <c r="H2" s="4" t="n">
        <v>1680</v>
      </c>
      <c r="I2" s="3">
        <f>H2-E2-F2-G2</f>
        <v/>
      </c>
      <c r="J2" s="3">
        <f>I2/H2</f>
        <v/>
      </c>
    </row>
    <row r="3" ht="20" customHeight="1">
      <c r="A3" s="6" t="inlineStr">
        <is>
          <t>TR-402</t>
        </is>
      </c>
      <c r="B3" s="7" t="inlineStr">
        <is>
          <t>M. Walsh</t>
        </is>
      </c>
      <c r="C3" s="7" t="inlineStr">
        <is>
          <t>Corner Brook → Port aux Basques</t>
        </is>
      </c>
      <c r="D3" s="8" t="n">
        <v>220</v>
      </c>
      <c r="E3" s="9" t="n">
        <v>176.7</v>
      </c>
      <c r="F3" s="8" t="n">
        <v>420</v>
      </c>
      <c r="G3" s="7">
        <f>D3*0.60</f>
        <v/>
      </c>
      <c r="H3" s="8" t="n">
        <v>1150</v>
      </c>
      <c r="I3" s="7">
        <f>H3-E3-F3-G3</f>
        <v/>
      </c>
      <c r="J3" s="7">
        <f>I3/H3</f>
        <v/>
      </c>
    </row>
    <row r="4" ht="20" customHeight="1">
      <c r="A4" s="2" t="inlineStr">
        <is>
          <t>TR-403</t>
        </is>
      </c>
      <c r="B4" s="3" t="inlineStr">
        <is>
          <t>C. Power</t>
        </is>
      </c>
      <c r="C4" s="3" t="inlineStr">
        <is>
          <t>St. John's → Gander</t>
        </is>
      </c>
      <c r="D4" s="4" t="n">
        <v>335</v>
      </c>
      <c r="E4" s="5" t="n">
        <v>266.8</v>
      </c>
      <c r="F4" s="4" t="n">
        <v>0</v>
      </c>
      <c r="G4" s="3">
        <f>D4*0.60</f>
        <v/>
      </c>
      <c r="H4" s="4" t="n">
        <v>890</v>
      </c>
      <c r="I4" s="3">
        <f>H4-E4-F4-G4</f>
        <v/>
      </c>
      <c r="J4" s="3">
        <f>I4/H4</f>
        <v/>
      </c>
    </row>
    <row r="5" ht="20" customHeight="1">
      <c r="A5" s="6" t="inlineStr">
        <is>
          <t>TR-404</t>
        </is>
      </c>
      <c r="B5" s="7" t="inlineStr">
        <is>
          <t>G. O'Brien</t>
        </is>
      </c>
      <c r="C5" s="7" t="inlineStr">
        <is>
          <t>Gander → Grand Falls-Windsor</t>
        </is>
      </c>
      <c r="D5" s="8" t="n">
        <v>95</v>
      </c>
      <c r="E5" s="9" t="n">
        <v>76.5</v>
      </c>
      <c r="F5" s="8" t="n">
        <v>0</v>
      </c>
      <c r="G5" s="7">
        <f>D5*0.60</f>
        <v/>
      </c>
      <c r="H5" s="8" t="n">
        <v>380</v>
      </c>
      <c r="I5" s="7">
        <f>H5-E5-F5-G5</f>
        <v/>
      </c>
      <c r="J5" s="7">
        <f>I5/H5</f>
        <v/>
      </c>
    </row>
    <row r="6" ht="20" customHeight="1">
      <c r="A6" s="2" t="inlineStr">
        <is>
          <t>TR-405</t>
        </is>
      </c>
      <c r="B6" s="3" t="inlineStr">
        <is>
          <t>D. Murphy</t>
        </is>
      </c>
      <c r="C6" s="3" t="inlineStr">
        <is>
          <t>Port aux Basques → North Sydney</t>
        </is>
      </c>
      <c r="D6" s="4" t="n">
        <v>180</v>
      </c>
      <c r="E6" s="5" t="n">
        <v>144</v>
      </c>
      <c r="F6" s="4" t="n">
        <v>680</v>
      </c>
      <c r="G6" s="3">
        <f>D6*0.60</f>
        <v/>
      </c>
      <c r="H6" s="4" t="n">
        <v>1820</v>
      </c>
      <c r="I6" s="3">
        <f>H6-E6-F6-G6</f>
        <v/>
      </c>
      <c r="J6" s="3">
        <f>I6/H6</f>
        <v/>
      </c>
    </row>
    <row r="7" ht="20" customHeight="1">
      <c r="A7" s="10" t="inlineStr">
        <is>
          <t>TOTALS / AVG</t>
        </is>
      </c>
      <c r="B7" s="10" t="inlineStr">
        <is>
          <t>Atlantic Fleet Summary</t>
        </is>
      </c>
      <c r="C7" s="10" t="inlineStr"/>
      <c r="D7" s="10">
        <f>SUM(D2:D6)</f>
        <v/>
      </c>
      <c r="E7" s="10">
        <f>SUM(E2:E6)</f>
        <v/>
      </c>
      <c r="F7" s="10">
        <f>SUM(F2:F6)</f>
        <v/>
      </c>
      <c r="G7" s="10">
        <f>SUM(G2:G6)</f>
        <v/>
      </c>
      <c r="H7" s="10">
        <f>SUM(H2:H6)</f>
        <v/>
      </c>
      <c r="I7" s="10">
        <f>SUM(I2:I6)</f>
        <v/>
      </c>
      <c r="J7" s="10">
        <f>AVERAGE(J2:J6)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SHA256:a777a0945e95b3ad5a22de3e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SHA256:2fe563365bdf5fd73dc310fe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SHA256:1ff1613665e594e02c47b5d4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SHA256:975b685391f4692ba77957dc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SHA256:e23dd060625ad210f9646c44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SHA256:d620808c25aded747439f18e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SHA256:5216b228b58695bc41c62bf2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SHA256:7c15feab8eab588ea2b210e3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SHA256:569ea862b3dad422ac01bd0b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SHA256:83c72d140c3291bc0813f6d9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SHA256:015f9b6b786fbde5996c670b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SHA256:c215757237ac6ebfcdeaae2e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SHA256:2ce3020bf7a752280a25f7e0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SHA256:5a651dd94a6d8262e17b1443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SHA256:c5a3812208da18022ea00ed1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SHA256:e9721253438e54a4300933c7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SHA256:777e4fac28467db18847b06d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SHA256:b8556b63185352e2af4e2e01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SHA256:6d55d91d576031dd81d19498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SHA256:a7c1186ed7539cd986b726bf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SHA256:951dfc42f5646776d008a9e1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SHA256:0cc11414352920632c8f8719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SHA256:193f56479d2d04df60460100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SHA256:71d51041046be04a85d0fe30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SHA256:84fc89df8fcffe9912f38635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SHA256:4006f56ae6079a278e4bd546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SHA256:278a720e32baaa6cf18d684a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SHA256:07ee37936f6a407b50d4ca65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SHA256:00a6ad6ba99014d53bfd5c41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SHA256:20dcb4384cb4025752cbec51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SHA256:bca7b8ceaaf5d26f6758359e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SHA256:ab2d7c5b3b5ea855a1d74c05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SHA256:9b981ec611f452c3da4be811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SHA256:3f84168e2813c968c9076651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SHA256:1d8d96acf5353d354f04d1cc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SHA256:694428da09546180e971a108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SHA256:9a7ad4993317b4fa2005a8a4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SHA256:9242c121f37c537cf632b45d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SHA256:58548fecba223a48953b01e0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SHA256:cd8c7951abb2e5afff28d73f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SHA256:e8dbfd2eefd1f710d23a567b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SHA256:13a8a2346d8f735b47cc6201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SHA256:b3747bec80a8609681be24b4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SHA256:07971b1d7e1552fb6dbb4ca7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SHA256:d007ee9dfa1f08c7a9f81c2a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SHA256:62d09f08fc4a0a292916a6c2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SHA256:499b794a98d2f622ab8952f1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SHA256:a35ee3148dc6683c801cbf6b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SHA256:324ca0dca2cccd1324a7a06e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SHA256:bea168ebd433c7dd2f913ead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SHA256:1b79cbbb1a9b251f52b6dfb0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SHA256:fb32f5e6d8d71f7cb63c6eb0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SHA256:115b85e73c82fd95bba69a04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SHA256:6379abb47f47030684aa3ce9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SHA256:541ac4a1ec4d397ec6a4e87c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SHA256:a9dfd75274053217ac4358fd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SHA256:91b6976c865044f37f0256c7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SHA256:18e4569b8d4bb2ac005976cc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SHA256:7ca1690a96196801dd63b409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SHA256:076905ac235ea5e51a8fb39e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SHA256:0b31cae92aa53bff878927d0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SHA256:2e49c9cfed3d1c45cc9428b7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SHA256:20fed984cd82785032706d41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SHA256:f1703f576bf94be9c6eadaa6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SHA256:a4b949f437c5ab540ec17aa1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SHA256:fb7874404d016fbb49b9a8f8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SHA256:98fe175c94224c4db48f7cff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SHA256:3a407c0d09671b0d118b7f7e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SHA256:19c430b6ed785b52bdcb6ccb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SHA256:e39617493c5879b747ef9f72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SHA256:6483c59414d157266d6cf83c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SHA256:86eade43b2869ebe1cdb9982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SHA256:d2bd92ed43e27e328185032d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SHA256:094e13508d5e5eafb32dcc0c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SHA256:592b7cb892508d29e0791542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SHA256:fe2b267ae17a52590a24098a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SHA256:eadbad550874d0ee3a5a01a9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SHA256:1000b44b0f7ddda7b0299c3a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SHA256:13a6de0ffbf85f568cb44a8e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SHA256:e82d2a1d566a37276bcaa390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SHA256:47b53a655abfac3e7d93635a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SHA256:7329a6a1ca31cd6b7efec13f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SHA256:870a77052c1397a0cb9bb8ca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SHA256:2f9952e01d6b171bc0c2696e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SHA256:ffcccdddc60a783f7784029f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SHA256:e624c05df6070c39bf649f65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SHA256:f93861ddc521537e76451c95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SHA256:580613faa8711ce625dd63fd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SHA256:7ca7af2c5dac9bc9138cf2e0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SHA256:9b6905cd8dfd4f835541a04d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SHA256:e0a58ae43117af6fc4932dcf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SHA256:3d30a6e4223f742a9a452fb0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SHA256:6ba1deabfe0a30fc9fc0d930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SHA256:8a70fb58681207cd7cf1820c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SHA256:f5f170922e2afc954183fb20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SHA256:c81c8260867092b8b9a689ab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SHA256:331fdc60369a3a4076852d94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SHA256:842b392a5593c64dcce4551a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SHA256:8b9000afd888c49390950842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SHA256:4472e3dd9f1a8dc27f9818a1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SHA256:69ffb6834cd772b0c4ccf3fa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SHA256:4091f29aab6ff9b5fb15c339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SHA256:d8657bb1029131e2dbac9298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SHA256:8a086ceff85f22ff874f9d43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SHA256:8102ab589311324df7f00d1f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SHA256:1f12ea3552584189e3808f6f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SHA256:2b78d622a084af8392335ce9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SHA256:4eb68efec1b9156e91e9cc20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SHA256:a218fe5a82241484b5dbfac1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2026-10-28T04:33:39Z</dcterms:created>
  <dcterms:modified xmlns:dcterms="http://purl.org/dc/terms/" xmlns:xsi="http://www.w3.org/2001/XMLSchema-instance" xsi:type="dcterms:W3CDTF">2026-10-28T04:33:39Z</dcterms:modified>
</cp:coreProperties>
</file>