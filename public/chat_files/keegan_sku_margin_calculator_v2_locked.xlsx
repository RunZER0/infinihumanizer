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ded_Cost_&amp;_Margin_Model" sheetId="1" r:id="rId1"/>
    <sheet name="Freight_&amp;_Customs_Reference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 Description</t>
        </is>
      </c>
      <c r="C1" t="inlineStr">
        <is>
          <t>Supplier FOB</t>
        </is>
      </c>
      <c r="D1" t="inlineStr">
        <is>
          <t>Allocated Ocean</t>
        </is>
      </c>
      <c r="E1" t="inlineStr">
        <is>
          <t>Customs Duty</t>
        </is>
      </c>
      <c r="F1" t="inlineStr">
        <is>
          <t>Landed Cost</t>
        </is>
      </c>
      <c r="G1" t="inlineStr">
        <is>
          <t>Wholesale (2.1x)</t>
        </is>
      </c>
      <c r="H1" t="inlineStr">
        <is>
          <t>MSRP Retail</t>
        </is>
      </c>
      <c r="I1" t="inlineStr">
        <is>
          <t>Gross Margin</t>
        </is>
      </c>
      <c r="J1" t="inlineStr">
        <is>
          <t>45-Day Reorder</t>
        </is>
      </c>
    </row>
    <row r="2">
      <c r="A2" t="inlineStr">
        <is>
          <t>KC-101</t>
        </is>
      </c>
      <c r="B2" t="inlineStr">
        <is>
          <t>Precision Kettle 1.2L</t>
        </is>
      </c>
      <c r="C2">
        <v>8.4</v>
      </c>
      <c r="D2">
        <v>1.05</v>
      </c>
      <c r="E2">
        <v>0.92</v>
      </c>
      <c r="F2">
        <f>C2+D2+E2</f>
      </c>
      <c r="G2">
        <f>F2*2.1</f>
      </c>
      <c r="H2">
        <v>34.0</v>
      </c>
      <c r="I2">
        <f>(H2-F2)/H2</f>
      </c>
      <c r="J2">
        <v>180</v>
      </c>
    </row>
    <row r="3">
      <c r="A3" t="inlineStr">
        <is>
          <t>KC-102</t>
        </is>
      </c>
      <c r="B3" t="inlineStr">
        <is>
          <t>Burr Hand Grinder</t>
        </is>
      </c>
      <c r="C3">
        <v>14.2</v>
      </c>
      <c r="D3">
        <v>0.51</v>
      </c>
      <c r="E3">
        <v>0.53</v>
      </c>
      <c r="F3">
        <f>C3+D3+E3</f>
      </c>
      <c r="G3">
        <f>F3*2.1</f>
      </c>
      <c r="H3">
        <v>58.0</v>
      </c>
      <c r="I3">
        <f>(H3-F3)/H3</f>
      </c>
      <c r="J3">
        <v>120</v>
      </c>
    </row>
    <row r="4">
      <c r="A4" t="inlineStr">
        <is>
          <t>KC-103</t>
        </is>
      </c>
      <c r="B4" t="inlineStr">
        <is>
          <t>Espresso Scale USB-C</t>
        </is>
      </c>
      <c r="C4">
        <v>6.15</v>
      </c>
      <c r="D4">
        <v>0.26</v>
      </c>
      <c r="E4">
        <v>0.28</v>
      </c>
      <c r="F4">
        <f>C4+D4+E4</f>
      </c>
      <c r="G4">
        <f>F4*2.1</f>
      </c>
      <c r="H4">
        <v>29.0</v>
      </c>
      <c r="I4">
        <f>(H4-F4)/H4</f>
      </c>
      <c r="J4">
        <v>250</v>
      </c>
    </row>
    <row r="5">
      <c r="A5" t="inlineStr">
        <is>
          <t>KC-104</t>
        </is>
      </c>
      <c r="B5" t="inlineStr">
        <is>
          <t>Glass Mug 2pk</t>
        </is>
      </c>
      <c r="C5">
        <v>3.8</v>
      </c>
      <c r="D5">
        <v>0.63</v>
      </c>
      <c r="E5">
        <v>0.23</v>
      </c>
      <c r="F5">
        <f>C5+D5+E5</f>
      </c>
      <c r="G5">
        <f>F5*2.1</f>
      </c>
      <c r="H5">
        <v>24.0</v>
      </c>
      <c r="I5">
        <f>(H5-F5)/H5</f>
      </c>
      <c r="J5">
        <v>300</v>
      </c>
    </row>
    <row r="6">
      <c r="A6" t="inlineStr">
        <is>
          <t>KC-105</t>
        </is>
      </c>
      <c r="B6" t="inlineStr">
        <is>
          <t>Ceramic Dripper 02</t>
        </is>
      </c>
      <c r="C6">
        <v>2.9</v>
      </c>
      <c r="D6">
        <v>0.25</v>
      </c>
      <c r="E6">
        <v>0.19</v>
      </c>
      <c r="F6">
        <f>C6+D6+E6</f>
      </c>
      <c r="G6">
        <f>F6*2.1</f>
      </c>
      <c r="H6">
        <v>18.0</v>
      </c>
      <c r="I6">
        <f>(H6-F6)/H6</f>
      </c>
      <c r="J6">
        <v>220</v>
      </c>
    </row>
    <row r="7">
      <c r="A7" t="inlineStr">
        <is>
          <t>KC-106</t>
        </is>
      </c>
      <c r="B7" t="inlineStr">
        <is>
          <t>Silicone Tamping Mat</t>
        </is>
      </c>
      <c r="C7">
        <v>1.45</v>
      </c>
      <c r="D7">
        <v>0.13</v>
      </c>
      <c r="E7">
        <v>0.05</v>
      </c>
      <c r="F7">
        <f>C7+D7+E7</f>
      </c>
      <c r="G7">
        <f>F7*2.1</f>
      </c>
      <c r="H7">
        <v>12.0</v>
      </c>
      <c r="I7">
        <f>(H7-F7)/H7</f>
      </c>
      <c r="J7">
        <v>400</v>
      </c>
    </row>
    <row r="8">
      <c r="A8" t="inlineStr">
        <is>
          <t>KC-107</t>
        </is>
      </c>
      <c r="B8" t="inlineStr">
        <is>
          <t>Cold Brew Pitcher</t>
        </is>
      </c>
      <c r="C8">
        <v>5.2</v>
      </c>
      <c r="D8">
        <v>0.72</v>
      </c>
      <c r="E8">
        <v>0.18</v>
      </c>
      <c r="F8">
        <f>C8+D8+E8</f>
      </c>
      <c r="G8">
        <f>F8*2.1</f>
      </c>
      <c r="H8">
        <v>28.0</v>
      </c>
      <c r="I8">
        <f>(H8-F8)/H8</f>
      </c>
      <c r="J8">
        <v>150</v>
      </c>
    </row>
    <row r="9">
      <c r="A9" t="inlineStr">
        <is>
          <t>KC-108</t>
        </is>
      </c>
      <c r="B9" t="inlineStr">
        <is>
          <t>WDT Needle Tool</t>
        </is>
      </c>
      <c r="C9">
        <v>2.1</v>
      </c>
      <c r="D9">
        <v>0.09</v>
      </c>
      <c r="E9">
        <v>0.08</v>
      </c>
      <c r="F9">
        <f>C9+D9+E9</f>
      </c>
      <c r="G9">
        <f>F9*2.1</f>
      </c>
      <c r="H9">
        <v>16.0</v>
      </c>
      <c r="I9">
        <f>(H9-F9)/H9</f>
      </c>
      <c r="J9">
        <v>350</v>
      </c>
    </row>
    <row r="10">
      <c r="A10" t="inlineStr">
        <is>
          <t>TOTALS / AVG</t>
        </is>
      </c>
      <c r="B10" t="inlineStr">
        <is>
          <t>Catalog Summary</t>
        </is>
      </c>
      <c r="C10">
        <f>SUM(C2:C9)</f>
      </c>
      <c r="D10">
        <f>SUM(D2:D9)</f>
      </c>
      <c r="E10">
        <f>SUM(E2:E9)</f>
      </c>
      <c r="F10">
        <f>SUM(F2:F9)</f>
      </c>
      <c r="G10">
        <f>AVERAGE(G2:G9)</f>
      </c>
      <c r="H10">
        <f>SUM(H2:H9)</f>
      </c>
      <c r="I10">
        <f>AVERAGE(I2:I9)</f>
      </c>
      <c r="J10">
        <f>SUM(J2:J9)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Route / Tariff Code</t>
        </is>
      </c>
      <c r="B1" t="inlineStr">
        <is>
          <t>Classification Name</t>
        </is>
      </c>
      <c r="C1" t="inlineStr">
        <is>
          <t>Base Rate (USD)</t>
        </is>
      </c>
      <c r="D1" t="inlineStr">
        <is>
          <t>Unit Basis</t>
        </is>
      </c>
      <c r="E1" t="inlineStr">
        <is>
          <t>Notes</t>
        </is>
      </c>
    </row>
    <row r="2">
      <c r="A2" t="inlineStr">
        <is>
          <t>Yantian to POLA</t>
        </is>
      </c>
      <c r="B2" t="inlineStr">
        <is>
          <t>Ocean LCL Freight Rate</t>
        </is>
      </c>
      <c r="C2">
        <v>185.0</v>
      </c>
      <c r="D2" t="inlineStr">
        <is>
          <t>Per CBM</t>
        </is>
      </c>
      <c r="E2" t="inlineStr">
        <is>
          <t>Includes BAF and terminal handling</t>
        </is>
      </c>
    </row>
    <row r="3">
      <c r="A3" t="inlineStr">
        <is>
          <t>HTS 7323.93.00</t>
        </is>
      </c>
      <c r="B3" t="inlineStr">
        <is>
          <t>Stainless Steel Hollowware</t>
        </is>
      </c>
      <c r="C3" t="inlineStr">
        <is>
          <t>10.9%</t>
        </is>
      </c>
      <c r="D3" t="inlineStr">
        <is>
          <t>Ad Valorem</t>
        </is>
      </c>
      <c r="E3" t="inlineStr">
        <is>
          <t>Includes Section 301 List 3 addition</t>
        </is>
      </c>
    </row>
    <row r="4">
      <c r="A4" t="inlineStr">
        <is>
          <t>HTS 8423.81.00</t>
        </is>
      </c>
      <c r="B4" t="inlineStr">
        <is>
          <t>Digital Scale Electronic</t>
        </is>
      </c>
      <c r="C4" t="inlineStr">
        <is>
          <t>4.5%</t>
        </is>
      </c>
      <c r="D4" t="inlineStr">
        <is>
          <t>Ad Valorem</t>
        </is>
      </c>
      <c r="E4" t="inlineStr">
        <is>
          <t>USB-C rechargeable micro-timer</t>
        </is>
      </c>
    </row>
    <row r="5">
      <c r="A5" t="inlineStr">
        <is>
          <t>POLA Drayage</t>
        </is>
      </c>
      <c r="B5" t="inlineStr">
        <is>
          <t>Deconsolidation &amp; Transfer</t>
        </is>
      </c>
      <c r="C5">
        <v>140.0</v>
      </c>
      <c r="D5" t="inlineStr">
        <is>
          <t>Entry Flat</t>
        </is>
      </c>
      <c r="E5" t="inlineStr">
        <is>
          <t>Plus $18.50 per pallet handling</t>
        </is>
      </c>
    </row>
  </sheetData>
</worksheet>
</file>