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SKU Margin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4" fontId="2" fillId="4" borderId="1" applyAlignment="1" pivotButton="0" quotePrefix="0" xfId="0">
      <alignment horizontal="right" vertical="center"/>
    </xf>
    <xf numFmtId="3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5" customWidth="1" min="2" max="2"/>
    <col width="19" customWidth="1" min="3" max="3"/>
    <col width="22" customWidth="1" min="4" max="4"/>
    <col width="30" customWidth="1" min="5" max="5"/>
    <col width="25" customWidth="1" min="6" max="6"/>
    <col width="23" customWidth="1" min="7" max="7"/>
    <col width="27" customWidth="1" min="8" max="8"/>
    <col width="24" customWidth="1" min="9" max="9"/>
    <col width="20" customWidth="1" min="10" max="10"/>
    <col width="22" customWidth="1" min="11" max="11"/>
    <col width="20" customWidth="1" min="12" max="12"/>
    <col width="17" customWidth="1" min="13" max="13"/>
    <col width="32" customWidth="1" min="14" max="14"/>
  </cols>
  <sheetData>
    <row r="1" ht="28" customHeight="1">
      <c r="A1" s="1" t="inlineStr">
        <is>
          <t>SKU Code</t>
        </is>
      </c>
      <c r="B1" s="1" t="inlineStr">
        <is>
          <t>Product Description</t>
        </is>
      </c>
      <c r="C1" s="1" t="inlineStr">
        <is>
          <t>HTS Tariff Code</t>
        </is>
      </c>
      <c r="D1" s="1" t="inlineStr">
        <is>
          <t>Factory FOB ($USD)</t>
        </is>
      </c>
      <c r="E1" s="1" t="inlineStr">
        <is>
          <t>Ocean Freight Alloc ($USD)</t>
        </is>
      </c>
      <c r="F1" s="1" t="inlineStr">
        <is>
          <t>Harbor Drayage ($USD)</t>
        </is>
      </c>
      <c r="G1" s="1" t="inlineStr">
        <is>
          <t>Customs Duty ($USD)</t>
        </is>
      </c>
      <c r="H1" s="1" t="inlineStr">
        <is>
          <t>Landed Unit Cost ($USD)</t>
        </is>
      </c>
      <c r="I1" s="1" t="inlineStr">
        <is>
          <t>Wholesale B2B ($USD)</t>
        </is>
      </c>
      <c r="J1" s="1" t="inlineStr">
        <is>
          <t>B2B Margin %</t>
        </is>
      </c>
      <c r="K1" s="1" t="inlineStr">
        <is>
          <t>Retail MSRP ($USD)</t>
        </is>
      </c>
      <c r="L1" s="1" t="inlineStr">
        <is>
          <t>DTC Margin %</t>
        </is>
      </c>
      <c r="M1" s="1" t="inlineStr">
        <is>
          <t>Q3 Units Sold</t>
        </is>
      </c>
      <c r="N1" s="1" t="inlineStr">
        <is>
          <t>Total Q3 Gross Profit ($USD)</t>
        </is>
      </c>
    </row>
    <row r="2" ht="20" customHeight="1">
      <c r="A2" s="2" t="inlineStr">
        <is>
          <t>CSG-KNF-01</t>
        </is>
      </c>
      <c r="B2" s="3" t="inlineStr">
        <is>
          <t>7-Inch Damascus Santoku Chef Knife</t>
        </is>
      </c>
      <c r="C2" s="3" t="inlineStr">
        <is>
          <t>8211.92.20</t>
        </is>
      </c>
      <c r="D2" s="4" t="n">
        <v>28.5</v>
      </c>
      <c r="E2" s="4" t="n">
        <v>2.1</v>
      </c>
      <c r="F2" s="4" t="n">
        <v>0.45</v>
      </c>
      <c r="G2" s="4" t="n">
        <v>1.4</v>
      </c>
      <c r="H2" s="3">
        <f>SUM(D2:G2)</f>
        <v/>
      </c>
      <c r="I2" s="4" t="n">
        <v>68</v>
      </c>
      <c r="J2" s="3">
        <f>1-(H2/I2)</f>
        <v/>
      </c>
      <c r="K2" s="4" t="n">
        <v>145</v>
      </c>
      <c r="L2" s="3">
        <f>1-(H2/K2)</f>
        <v/>
      </c>
      <c r="M2" s="5" t="n">
        <v>1240</v>
      </c>
      <c r="N2" s="3">
        <f>(I2-H2)*M2</f>
        <v/>
      </c>
    </row>
    <row r="3" ht="20" customHeight="1">
      <c r="A3" s="6" t="inlineStr">
        <is>
          <t>CSG-KNF-02</t>
        </is>
      </c>
      <c r="B3" s="7" t="inlineStr">
        <is>
          <t>8.5-Inch VG-10 Gyuto Chef Knife</t>
        </is>
      </c>
      <c r="C3" s="7" t="inlineStr">
        <is>
          <t>8211.92.20</t>
        </is>
      </c>
      <c r="D3" s="8" t="n">
        <v>34</v>
      </c>
      <c r="E3" s="8" t="n">
        <v>2.1</v>
      </c>
      <c r="F3" s="8" t="n">
        <v>0.45</v>
      </c>
      <c r="G3" s="8" t="n">
        <v>1.65</v>
      </c>
      <c r="H3" s="7">
        <f>SUM(D3:G3)</f>
        <v/>
      </c>
      <c r="I3" s="8" t="n">
        <v>82</v>
      </c>
      <c r="J3" s="7">
        <f>1-(H3/I3)</f>
        <v/>
      </c>
      <c r="K3" s="8" t="n">
        <v>175</v>
      </c>
      <c r="L3" s="7">
        <f>1-(H3/K3)</f>
        <v/>
      </c>
      <c r="M3" s="9" t="n">
        <v>980</v>
      </c>
      <c r="N3" s="7">
        <f>(I3-H3)*M3</f>
        <v/>
      </c>
    </row>
    <row r="4" ht="20" customHeight="1">
      <c r="A4" s="2" t="inlineStr">
        <is>
          <t>CSG-KNF-03</t>
        </is>
      </c>
      <c r="B4" s="3" t="inlineStr">
        <is>
          <t>3.5-Inch Precision Paring Knife</t>
        </is>
      </c>
      <c r="C4" s="3" t="inlineStr">
        <is>
          <t>8211.92.40</t>
        </is>
      </c>
      <c r="D4" s="4" t="n">
        <v>14.2</v>
      </c>
      <c r="E4" s="4" t="n">
        <v>1.2</v>
      </c>
      <c r="F4" s="4" t="n">
        <v>0.3</v>
      </c>
      <c r="G4" s="4" t="n">
        <v>0.7</v>
      </c>
      <c r="H4" s="3">
        <f>SUM(D4:G4)</f>
        <v/>
      </c>
      <c r="I4" s="4" t="n">
        <v>36</v>
      </c>
      <c r="J4" s="3">
        <f>1-(H4/I4)</f>
        <v/>
      </c>
      <c r="K4" s="4" t="n">
        <v>78</v>
      </c>
      <c r="L4" s="3">
        <f>1-(H4/K4)</f>
        <v/>
      </c>
      <c r="M4" s="5" t="n">
        <v>1850</v>
      </c>
      <c r="N4" s="3">
        <f>(I4-H4)*M4</f>
        <v/>
      </c>
    </row>
    <row r="5" ht="20" customHeight="1">
      <c r="A5" s="6" t="inlineStr">
        <is>
          <t>CSG-POT-01</t>
        </is>
      </c>
      <c r="B5" s="7" t="inlineStr">
        <is>
          <t>Matte Ceramic Pour-Over Dripper (V60)</t>
        </is>
      </c>
      <c r="C5" s="7" t="inlineStr">
        <is>
          <t>6911.10.15</t>
        </is>
      </c>
      <c r="D5" s="8" t="n">
        <v>4.8</v>
      </c>
      <c r="E5" s="8" t="n">
        <v>1.4</v>
      </c>
      <c r="F5" s="8" t="n">
        <v>0.35</v>
      </c>
      <c r="G5" s="8" t="n">
        <v>0.48</v>
      </c>
      <c r="H5" s="7">
        <f>SUM(D5:G5)</f>
        <v/>
      </c>
      <c r="I5" s="8" t="n">
        <v>16.5</v>
      </c>
      <c r="J5" s="7">
        <f>1-(H5/I5)</f>
        <v/>
      </c>
      <c r="K5" s="8" t="n">
        <v>38</v>
      </c>
      <c r="L5" s="7">
        <f>1-(H5/K5)</f>
        <v/>
      </c>
      <c r="M5" s="9" t="n">
        <v>3400</v>
      </c>
      <c r="N5" s="7">
        <f>(I5-H5)*M5</f>
        <v/>
      </c>
    </row>
    <row r="6" ht="20" customHeight="1">
      <c r="A6" s="2" t="inlineStr">
        <is>
          <t>CSG-POT-02</t>
        </is>
      </c>
      <c r="B6" s="3" t="inlineStr">
        <is>
          <t>Double-Walled Borosilicate Server (600ml)</t>
        </is>
      </c>
      <c r="C6" s="3" t="inlineStr">
        <is>
          <t>7013.49.20</t>
        </is>
      </c>
      <c r="D6" s="4" t="n">
        <v>6.2</v>
      </c>
      <c r="E6" s="4" t="n">
        <v>1.8</v>
      </c>
      <c r="F6" s="4" t="n">
        <v>0.4</v>
      </c>
      <c r="G6" s="4" t="n">
        <v>0.62</v>
      </c>
      <c r="H6" s="3">
        <f>SUM(D6:G6)</f>
        <v/>
      </c>
      <c r="I6" s="4" t="n">
        <v>19</v>
      </c>
      <c r="J6" s="3">
        <f>1-(H6/I6)</f>
        <v/>
      </c>
      <c r="K6" s="4" t="n">
        <v>42</v>
      </c>
      <c r="L6" s="3">
        <f>1-(H6/K6)</f>
        <v/>
      </c>
      <c r="M6" s="5" t="n">
        <v>2650</v>
      </c>
      <c r="N6" s="3">
        <f>(I6-H6)*M6</f>
        <v/>
      </c>
    </row>
    <row r="7" ht="20" customHeight="1">
      <c r="A7" s="6" t="inlineStr">
        <is>
          <t>CSG-POT-03</t>
        </is>
      </c>
      <c r="B7" s="7" t="inlineStr">
        <is>
          <t>Gooseneck Temperature Pouring Kettle</t>
        </is>
      </c>
      <c r="C7" s="7" t="inlineStr">
        <is>
          <t>8516.79.00</t>
        </is>
      </c>
      <c r="D7" s="8" t="n">
        <v>22</v>
      </c>
      <c r="E7" s="8" t="n">
        <v>3.2</v>
      </c>
      <c r="F7" s="8" t="n">
        <v>0.65</v>
      </c>
      <c r="G7" s="8" t="n">
        <v>1.1</v>
      </c>
      <c r="H7" s="7">
        <f>SUM(D7:G7)</f>
        <v/>
      </c>
      <c r="I7" s="8" t="n">
        <v>58</v>
      </c>
      <c r="J7" s="7">
        <f>1-(H7/I7)</f>
        <v/>
      </c>
      <c r="K7" s="8" t="n">
        <v>125</v>
      </c>
      <c r="L7" s="7">
        <f>1-(H7/K7)</f>
        <v/>
      </c>
      <c r="M7" s="9" t="n">
        <v>1120</v>
      </c>
      <c r="N7" s="7">
        <f>(I7-H7)*M7</f>
        <v/>
      </c>
    </row>
    <row r="8" ht="20" customHeight="1">
      <c r="A8" s="2" t="inlineStr">
        <is>
          <t>CSG-TCK-01</t>
        </is>
      </c>
      <c r="B8" s="3" t="inlineStr">
        <is>
          <t>End-Grain Teak Kitchen Prep Board (18x12)</t>
        </is>
      </c>
      <c r="C8" s="3" t="inlineStr">
        <is>
          <t>4419.90.90</t>
        </is>
      </c>
      <c r="D8" s="4" t="n">
        <v>16.5</v>
      </c>
      <c r="E8" s="4" t="n">
        <v>3.8</v>
      </c>
      <c r="F8" s="4" t="n">
        <v>0.75</v>
      </c>
      <c r="G8" s="4" t="n">
        <v>0.55</v>
      </c>
      <c r="H8" s="3">
        <f>SUM(D8:G8)</f>
        <v/>
      </c>
      <c r="I8" s="4" t="n">
        <v>45</v>
      </c>
      <c r="J8" s="3">
        <f>1-(H8/I8)</f>
        <v/>
      </c>
      <c r="K8" s="4" t="n">
        <v>95</v>
      </c>
      <c r="L8" s="3">
        <f>1-(H8/K8)</f>
        <v/>
      </c>
      <c r="M8" s="5" t="n">
        <v>1460</v>
      </c>
      <c r="N8" s="3">
        <f>(I8-H8)*M8</f>
        <v/>
      </c>
    </row>
    <row r="9" ht="20" customHeight="1">
      <c r="A9" s="6" t="inlineStr">
        <is>
          <t>CSG-TCK-02</t>
        </is>
      </c>
      <c r="B9" s="7" t="inlineStr">
        <is>
          <t>Organic Ceremonial Uji Matcha Set (30g)</t>
        </is>
      </c>
      <c r="C9" s="7" t="inlineStr">
        <is>
          <t>0902.10.90</t>
        </is>
      </c>
      <c r="D9" s="8" t="n">
        <v>8.4</v>
      </c>
      <c r="E9" s="8" t="n">
        <v>0.85</v>
      </c>
      <c r="F9" s="8" t="n">
        <v>0.2</v>
      </c>
      <c r="G9" s="8" t="n">
        <v>0</v>
      </c>
      <c r="H9" s="7">
        <f>SUM(D9:G9)</f>
        <v/>
      </c>
      <c r="I9" s="8" t="n">
        <v>24</v>
      </c>
      <c r="J9" s="7">
        <f>1-(H9/I9)</f>
        <v/>
      </c>
      <c r="K9" s="8" t="n">
        <v>52</v>
      </c>
      <c r="L9" s="7">
        <f>1-(H9/K9)</f>
        <v/>
      </c>
      <c r="M9" s="9" t="n">
        <v>4200</v>
      </c>
      <c r="N9" s="7">
        <f>(I9-H9)*M9</f>
        <v/>
      </c>
    </row>
    <row r="10" ht="20" customHeight="1">
      <c r="A10" s="2" t="inlineStr">
        <is>
          <t>CSG-TCK-03</t>
        </is>
      </c>
      <c r="B10" s="3" t="inlineStr">
        <is>
          <t>Insulated Titanium Tumbler (450ml)</t>
        </is>
      </c>
      <c r="C10" s="3" t="inlineStr">
        <is>
          <t>7615.10.30</t>
        </is>
      </c>
      <c r="D10" s="4" t="n">
        <v>11.2</v>
      </c>
      <c r="E10" s="4" t="n">
        <v>1.5</v>
      </c>
      <c r="F10" s="4" t="n">
        <v>0.35</v>
      </c>
      <c r="G10" s="4" t="n">
        <v>0.5600000000000001</v>
      </c>
      <c r="H10" s="3">
        <f>SUM(D10:G10)</f>
        <v/>
      </c>
      <c r="I10" s="4" t="n">
        <v>32</v>
      </c>
      <c r="J10" s="3">
        <f>1-(H10/I10)</f>
        <v/>
      </c>
      <c r="K10" s="4" t="n">
        <v>68</v>
      </c>
      <c r="L10" s="3">
        <f>1-(H10/K10)</f>
        <v/>
      </c>
      <c r="M10" s="5" t="n">
        <v>2100</v>
      </c>
      <c r="N10" s="3">
        <f>(I10-H10)*M10</f>
        <v/>
      </c>
    </row>
    <row r="11" ht="20" customHeight="1">
      <c r="A11" s="10" t="inlineStr">
        <is>
          <t>TOTAL MASTER CATALOG</t>
        </is>
      </c>
      <c r="B11" s="10" t="inlineStr">
        <is>
          <t>9 KEY PRODUCT LINES</t>
        </is>
      </c>
      <c r="C11" s="10" t="inlineStr">
        <is>
          <t>-</t>
        </is>
      </c>
      <c r="D11" s="10">
        <f>SUM(D2:D10)</f>
        <v/>
      </c>
      <c r="E11" s="10">
        <f>SUM(E2:E10)</f>
        <v/>
      </c>
      <c r="F11" s="10">
        <f>SUM(F2:F10)</f>
        <v/>
      </c>
      <c r="G11" s="10">
        <f>SUM(G2:G10)</f>
        <v/>
      </c>
      <c r="H11" s="10">
        <f>SUM(H2:H10)</f>
        <v/>
      </c>
      <c r="I11" s="10">
        <f>SUM(I2:I10)</f>
        <v/>
      </c>
      <c r="J11" s="10">
        <f>AVERAGE(J2:J10)</f>
        <v/>
      </c>
      <c r="K11" s="10">
        <f>SUM(K2:K10)</f>
        <v/>
      </c>
      <c r="L11" s="10">
        <f>AVERAGE(L2:L10)</f>
        <v/>
      </c>
      <c r="M11" s="10">
        <f>SUM(M2:M10)</f>
        <v/>
      </c>
      <c r="N11" s="10">
        <f>SUM(N2:N10)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2026-10-24T10:16:33Z</dcterms:created>
  <dcterms:modified xmlns:dcterms="http://purl.org/dc/terms/" xmlns:xsi="http://www.w3.org/2001/XMLSchema-instance" xsi:type="dcterms:W3CDTF">2026-10-24T10:16:33Z</dcterms:modified>
</cp:coreProperties>
</file>