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 Margin Mode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45" customWidth="1" min="2" max="2"/>
    <col width="19" customWidth="1" min="3" max="3"/>
    <col width="22" customWidth="1" min="4" max="4"/>
    <col width="30" customWidth="1" min="5" max="5"/>
    <col width="25" customWidth="1" min="6" max="6"/>
    <col width="23" customWidth="1" min="7" max="7"/>
    <col width="27" customWidth="1" min="8" max="8"/>
    <col width="24" customWidth="1" min="9" max="9"/>
    <col width="20" customWidth="1" min="10" max="10"/>
    <col width="22" customWidth="1" min="11" max="11"/>
    <col width="20" customWidth="1" min="12" max="12"/>
    <col width="17" customWidth="1" min="13" max="13"/>
    <col width="32" customWidth="1" min="14" max="14"/>
  </cols>
  <sheetData>
    <row r="1" ht="28" customHeight="1">
      <c r="A1" s="1" t="inlineStr">
        <is>
          <t>SKU Code</t>
        </is>
      </c>
      <c r="B1" s="1" t="inlineStr">
        <is>
          <t>Product Description</t>
        </is>
      </c>
      <c r="C1" s="1" t="inlineStr">
        <is>
          <t>HTS Tariff Code</t>
        </is>
      </c>
      <c r="D1" s="1" t="inlineStr">
        <is>
          <t>Factory FOB ($USD)</t>
        </is>
      </c>
      <c r="E1" s="1" t="inlineStr">
        <is>
          <t>Ocean Freight Alloc ($USD)</t>
        </is>
      </c>
      <c r="F1" s="1" t="inlineStr">
        <is>
          <t>Harbor Drayage ($USD)</t>
        </is>
      </c>
      <c r="G1" s="1" t="inlineStr">
        <is>
          <t>Customs Duty ($USD)</t>
        </is>
      </c>
      <c r="H1" s="1" t="inlineStr">
        <is>
          <t>Landed Unit Cost ($USD)</t>
        </is>
      </c>
      <c r="I1" s="1" t="inlineStr">
        <is>
          <t>Wholesale B2B ($USD)</t>
        </is>
      </c>
      <c r="J1" s="1" t="inlineStr">
        <is>
          <t>B2B Margin %</t>
        </is>
      </c>
      <c r="K1" s="1" t="inlineStr">
        <is>
          <t>Retail MSRP ($USD)</t>
        </is>
      </c>
      <c r="L1" s="1" t="inlineStr">
        <is>
          <t>DTC Margin %</t>
        </is>
      </c>
      <c r="M1" s="1" t="inlineStr">
        <is>
          <t>Q3 Units Sold</t>
        </is>
      </c>
      <c r="N1" s="1" t="inlineStr">
        <is>
          <t>Total Q3 Gross Profit ($USD)</t>
        </is>
      </c>
    </row>
    <row r="2" ht="20" customHeight="1">
      <c r="A2" s="2" t="inlineStr">
        <is>
          <t>CSG-KNF-01</t>
        </is>
      </c>
      <c r="B2" s="3" t="inlineStr">
        <is>
          <t>7-Inch Damascus Santoku Chef Knife</t>
        </is>
      </c>
      <c r="C2" s="3" t="inlineStr">
        <is>
          <t>8211.92.20</t>
        </is>
      </c>
      <c r="D2" s="4" t="n">
        <v>28.5</v>
      </c>
      <c r="E2" s="4" t="n">
        <v>2.1</v>
      </c>
      <c r="F2" s="4" t="n">
        <v>0.45</v>
      </c>
      <c r="G2" s="4" t="n">
        <v>1.4</v>
      </c>
      <c r="H2" s="3">
        <f>SUM(D2:G2)</f>
        <v/>
      </c>
      <c r="I2" s="4" t="n">
        <v>68</v>
      </c>
      <c r="J2" s="3">
        <f>1-(H2/I2)</f>
        <v/>
      </c>
      <c r="K2" s="4" t="n">
        <v>145</v>
      </c>
      <c r="L2" s="3">
        <f>1-(H2/K2)</f>
        <v/>
      </c>
      <c r="M2" s="5" t="n">
        <v>1240</v>
      </c>
      <c r="N2" s="3">
        <f>(I2-H2)*M2</f>
        <v/>
      </c>
    </row>
    <row r="3" ht="20" customHeight="1">
      <c r="A3" s="6" t="inlineStr">
        <is>
          <t>CSG-KNF-02</t>
        </is>
      </c>
      <c r="B3" s="7" t="inlineStr">
        <is>
          <t>8.5-Inch VG-10 Gyuto Chef Knife</t>
        </is>
      </c>
      <c r="C3" s="7" t="inlineStr">
        <is>
          <t>8211.92.20</t>
        </is>
      </c>
      <c r="D3" s="8" t="n">
        <v>34</v>
      </c>
      <c r="E3" s="8" t="n">
        <v>2.1</v>
      </c>
      <c r="F3" s="8" t="n">
        <v>0.45</v>
      </c>
      <c r="G3" s="8" t="n">
        <v>1.65</v>
      </c>
      <c r="H3" s="7">
        <f>SUM(D3:G3)</f>
        <v/>
      </c>
      <c r="I3" s="8" t="n">
        <v>82</v>
      </c>
      <c r="J3" s="7">
        <f>1-(H3/I3)</f>
        <v/>
      </c>
      <c r="K3" s="8" t="n">
        <v>175</v>
      </c>
      <c r="L3" s="7">
        <f>1-(H3/K3)</f>
        <v/>
      </c>
      <c r="M3" s="9" t="n">
        <v>980</v>
      </c>
      <c r="N3" s="7">
        <f>(I3-H3)*M3</f>
        <v/>
      </c>
    </row>
    <row r="4" ht="20" customHeight="1">
      <c r="A4" s="2" t="inlineStr">
        <is>
          <t>CSG-KNF-03</t>
        </is>
      </c>
      <c r="B4" s="3" t="inlineStr">
        <is>
          <t>3.5-Inch Precision Paring Knife</t>
        </is>
      </c>
      <c r="C4" s="3" t="inlineStr">
        <is>
          <t>8211.92.40</t>
        </is>
      </c>
      <c r="D4" s="4" t="n">
        <v>14.2</v>
      </c>
      <c r="E4" s="4" t="n">
        <v>1.2</v>
      </c>
      <c r="F4" s="4" t="n">
        <v>0.3</v>
      </c>
      <c r="G4" s="4" t="n">
        <v>0.7</v>
      </c>
      <c r="H4" s="3">
        <f>SUM(D4:G4)</f>
        <v/>
      </c>
      <c r="I4" s="4" t="n">
        <v>36</v>
      </c>
      <c r="J4" s="3">
        <f>1-(H4/I4)</f>
        <v/>
      </c>
      <c r="K4" s="4" t="n">
        <v>78</v>
      </c>
      <c r="L4" s="3">
        <f>1-(H4/K4)</f>
        <v/>
      </c>
      <c r="M4" s="5" t="n">
        <v>1850</v>
      </c>
      <c r="N4" s="3">
        <f>(I4-H4)*M4</f>
        <v/>
      </c>
    </row>
    <row r="5" ht="20" customHeight="1">
      <c r="A5" s="6" t="inlineStr">
        <is>
          <t>CSG-POT-01</t>
        </is>
      </c>
      <c r="B5" s="7" t="inlineStr">
        <is>
          <t>Matte Ceramic Pour-Over Dripper (V60)</t>
        </is>
      </c>
      <c r="C5" s="7" t="inlineStr">
        <is>
          <t>6911.10.15</t>
        </is>
      </c>
      <c r="D5" s="8" t="n">
        <v>4.8</v>
      </c>
      <c r="E5" s="8" t="n">
        <v>1.4</v>
      </c>
      <c r="F5" s="8" t="n">
        <v>0.35</v>
      </c>
      <c r="G5" s="8" t="n">
        <v>0.48</v>
      </c>
      <c r="H5" s="7">
        <f>SUM(D5:G5)</f>
        <v/>
      </c>
      <c r="I5" s="8" t="n">
        <v>16.5</v>
      </c>
      <c r="J5" s="7">
        <f>1-(H5/I5)</f>
        <v/>
      </c>
      <c r="K5" s="8" t="n">
        <v>38</v>
      </c>
      <c r="L5" s="7">
        <f>1-(H5/K5)</f>
        <v/>
      </c>
      <c r="M5" s="9" t="n">
        <v>3400</v>
      </c>
      <c r="N5" s="7">
        <f>(I5-H5)*M5</f>
        <v/>
      </c>
    </row>
    <row r="6" ht="20" customHeight="1">
      <c r="A6" s="2" t="inlineStr">
        <is>
          <t>CSG-POT-02</t>
        </is>
      </c>
      <c r="B6" s="3" t="inlineStr">
        <is>
          <t>Double-Walled Borosilicate Server (600ml)</t>
        </is>
      </c>
      <c r="C6" s="3" t="inlineStr">
        <is>
          <t>7013.49.20</t>
        </is>
      </c>
      <c r="D6" s="4" t="n">
        <v>6.2</v>
      </c>
      <c r="E6" s="4" t="n">
        <v>1.8</v>
      </c>
      <c r="F6" s="4" t="n">
        <v>0.4</v>
      </c>
      <c r="G6" s="4" t="n">
        <v>0.62</v>
      </c>
      <c r="H6" s="3">
        <f>SUM(D6:G6)</f>
        <v/>
      </c>
      <c r="I6" s="4" t="n">
        <v>19</v>
      </c>
      <c r="J6" s="3">
        <f>1-(H6/I6)</f>
        <v/>
      </c>
      <c r="K6" s="4" t="n">
        <v>42</v>
      </c>
      <c r="L6" s="3">
        <f>1-(H6/K6)</f>
        <v/>
      </c>
      <c r="M6" s="5" t="n">
        <v>2650</v>
      </c>
      <c r="N6" s="3">
        <f>(I6-H6)*M6</f>
        <v/>
      </c>
    </row>
    <row r="7" ht="20" customHeight="1">
      <c r="A7" s="6" t="inlineStr">
        <is>
          <t>CSG-POT-03</t>
        </is>
      </c>
      <c r="B7" s="7" t="inlineStr">
        <is>
          <t>Gooseneck Temperature Pouring Kettle</t>
        </is>
      </c>
      <c r="C7" s="7" t="inlineStr">
        <is>
          <t>8516.79.00</t>
        </is>
      </c>
      <c r="D7" s="8" t="n">
        <v>22</v>
      </c>
      <c r="E7" s="8" t="n">
        <v>3.2</v>
      </c>
      <c r="F7" s="8" t="n">
        <v>0.65</v>
      </c>
      <c r="G7" s="8" t="n">
        <v>1.1</v>
      </c>
      <c r="H7" s="7">
        <f>SUM(D7:G7)</f>
        <v/>
      </c>
      <c r="I7" s="8" t="n">
        <v>58</v>
      </c>
      <c r="J7" s="7">
        <f>1-(H7/I7)</f>
        <v/>
      </c>
      <c r="K7" s="8" t="n">
        <v>125</v>
      </c>
      <c r="L7" s="7">
        <f>1-(H7/K7)</f>
        <v/>
      </c>
      <c r="M7" s="9" t="n">
        <v>1120</v>
      </c>
      <c r="N7" s="7">
        <f>(I7-H7)*M7</f>
        <v/>
      </c>
    </row>
    <row r="8" ht="20" customHeight="1">
      <c r="A8" s="2" t="inlineStr">
        <is>
          <t>CSG-TCK-01</t>
        </is>
      </c>
      <c r="B8" s="3" t="inlineStr">
        <is>
          <t>End-Grain Teak Kitchen Prep Board (18x12)</t>
        </is>
      </c>
      <c r="C8" s="3" t="inlineStr">
        <is>
          <t>4419.90.90</t>
        </is>
      </c>
      <c r="D8" s="4" t="n">
        <v>16.5</v>
      </c>
      <c r="E8" s="4" t="n">
        <v>3.8</v>
      </c>
      <c r="F8" s="4" t="n">
        <v>0.75</v>
      </c>
      <c r="G8" s="4" t="n">
        <v>0.55</v>
      </c>
      <c r="H8" s="3">
        <f>SUM(D8:G8)</f>
        <v/>
      </c>
      <c r="I8" s="4" t="n">
        <v>45</v>
      </c>
      <c r="J8" s="3">
        <f>1-(H8/I8)</f>
        <v/>
      </c>
      <c r="K8" s="4" t="n">
        <v>95</v>
      </c>
      <c r="L8" s="3">
        <f>1-(H8/K8)</f>
        <v/>
      </c>
      <c r="M8" s="5" t="n">
        <v>1460</v>
      </c>
      <c r="N8" s="3">
        <f>(I8-H8)*M8</f>
        <v/>
      </c>
    </row>
    <row r="9" ht="20" customHeight="1">
      <c r="A9" s="6" t="inlineStr">
        <is>
          <t>CSG-TCK-02</t>
        </is>
      </c>
      <c r="B9" s="7" t="inlineStr">
        <is>
          <t>Organic Ceremonial Uji Matcha Set (30g)</t>
        </is>
      </c>
      <c r="C9" s="7" t="inlineStr">
        <is>
          <t>0902.10.90</t>
        </is>
      </c>
      <c r="D9" s="8" t="n">
        <v>8.4</v>
      </c>
      <c r="E9" s="8" t="n">
        <v>0.85</v>
      </c>
      <c r="F9" s="8" t="n">
        <v>0.2</v>
      </c>
      <c r="G9" s="8" t="n">
        <v>0</v>
      </c>
      <c r="H9" s="7">
        <f>SUM(D9:G9)</f>
        <v/>
      </c>
      <c r="I9" s="8" t="n">
        <v>24</v>
      </c>
      <c r="J9" s="7">
        <f>1-(H9/I9)</f>
        <v/>
      </c>
      <c r="K9" s="8" t="n">
        <v>52</v>
      </c>
      <c r="L9" s="7">
        <f>1-(H9/K9)</f>
        <v/>
      </c>
      <c r="M9" s="9" t="n">
        <v>4200</v>
      </c>
      <c r="N9" s="7">
        <f>(I9-H9)*M9</f>
        <v/>
      </c>
    </row>
    <row r="10" ht="20" customHeight="1">
      <c r="A10" s="2" t="inlineStr">
        <is>
          <t>CSG-TCK-03</t>
        </is>
      </c>
      <c r="B10" s="3" t="inlineStr">
        <is>
          <t>Insulated Titanium Tumbler (450ml)</t>
        </is>
      </c>
      <c r="C10" s="3" t="inlineStr">
        <is>
          <t>7615.10.30</t>
        </is>
      </c>
      <c r="D10" s="4" t="n">
        <v>11.2</v>
      </c>
      <c r="E10" s="4" t="n">
        <v>1.5</v>
      </c>
      <c r="F10" s="4" t="n">
        <v>0.35</v>
      </c>
      <c r="G10" s="4" t="n">
        <v>0.5600000000000001</v>
      </c>
      <c r="H10" s="3">
        <f>SUM(D10:G10)</f>
        <v/>
      </c>
      <c r="I10" s="4" t="n">
        <v>32</v>
      </c>
      <c r="J10" s="3">
        <f>1-(H10/I10)</f>
        <v/>
      </c>
      <c r="K10" s="4" t="n">
        <v>68</v>
      </c>
      <c r="L10" s="3">
        <f>1-(H10/K10)</f>
        <v/>
      </c>
      <c r="M10" s="5" t="n">
        <v>2100</v>
      </c>
      <c r="N10" s="3">
        <f>(I10-H10)*M10</f>
        <v/>
      </c>
    </row>
    <row r="11" ht="20" customHeight="1">
      <c r="A11" s="10" t="inlineStr">
        <is>
          <t>TOTAL MASTER CATALOG</t>
        </is>
      </c>
      <c r="B11" s="10" t="inlineStr">
        <is>
          <t>9 KEY PRODUCT LINES</t>
        </is>
      </c>
      <c r="C11" s="10" t="inlineStr">
        <is>
          <t>-</t>
        </is>
      </c>
      <c r="D11" s="10">
        <f>SUM(D2:D10)</f>
        <v/>
      </c>
      <c r="E11" s="10">
        <f>SUM(E2:E10)</f>
        <v/>
      </c>
      <c r="F11" s="10">
        <f>SUM(F2:F10)</f>
        <v/>
      </c>
      <c r="G11" s="10">
        <f>SUM(G2:G10)</f>
        <v/>
      </c>
      <c r="H11" s="10">
        <f>SUM(H2:H10)</f>
        <v/>
      </c>
      <c r="I11" s="10">
        <f>SUM(I2:I10)</f>
        <v/>
      </c>
      <c r="J11" s="10">
        <f>AVERAGE(J2:J10)</f>
        <v/>
      </c>
      <c r="K11" s="10">
        <f>SUM(K2:K10)</f>
        <v/>
      </c>
      <c r="L11" s="10">
        <f>AVERAGE(L2:L10)</f>
        <v/>
      </c>
      <c r="M11" s="10">
        <f>SUM(M2:M10)</f>
        <v/>
      </c>
      <c r="N11" s="10">
        <f>SUM(N2:N10)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SHA256:620213854ef3aa6ade1e9f0e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SHA256:c9b7e21e489a181d4025b1f2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SHA256:1075781ab782248c98ed5281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SHA256:ba6674b80ec6192b37302121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SHA256:ffe19157e29a2846c3b19bb0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SHA256:dca8ae9029257fedfd639fe3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SHA256:a033515189d33c782946053e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SHA256:447a9cf1553fe6193ba3a780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SHA256:2a4a0a37944178467686b6e1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SHA256:91e77533a26be12c1082e60f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SHA256:3cc32c7f7a10b3ab87ac08f4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SHA256:95f7ec30e0b9cf7f7694537e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SHA256:a80db75c0d9b206d10bb2ed2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SHA256:9ae530ae809970c69767b14e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SHA256:769d2b64be6ec2200c85f602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SHA256:85635eca003c24408a186d24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SHA256:b56fa46d575c383125528493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SHA256:bb123cb0eac9d8b825f56f6d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SHA256:be8e1e28605c8a664aba1097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SHA256:02dabb96b057f2f4db9182f5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SHA256:5c4c066b990d8912f0665d09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SHA256:d21893f5c698a90ffe812ce2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SHA256:5831ac5905a566e6cb8b93a0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SHA256:3372fcb5194d04ffbe5cb8f4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SHA256:6f456f7873c971d478ddf823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SHA256:4f6dd88a47432096423206c6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SHA256:59dd10fff57dbbe5ca3d0bbf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SHA256:a91dfbc239b3059184ce7c09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SHA256:1917e25bf9b8228fc9f23d55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SHA256:28884f05e76635fe29b1d936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SHA256:587d172ad6b6adc0ef270b23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SHA256:4c14117661d07b6611949581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SHA256:2bd71be7088918954fe8aec9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SHA256:d876aba3c4157b6a9471c478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SHA256:31cd8697149912d45aa02470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SHA256:0d5e0b23f1fd7106aebaeadd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SHA256:4384341a57c1efb24c8918d0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SHA256:4f224b774703f1b781720ea7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SHA256:5eb18ca9b9d566b7343c1484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SHA256:bd546f90b80f542af76f2e9b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SHA256:3e494918292c5e48cd620d1d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SHA256:018a75fcd9d5c7b283bf2e3f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SHA256:ce9e8f6f6dba4a0398a6e24e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SHA256:6db4bd2fe855e4c52b4f7cbe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SHA256:883d53fe30412ea9a4b84453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SHA256:ddc09c4563a55531673c9077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SHA256:fdb6f4725211f66d8219add4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SHA256:3a81fb0e5e682267bc8bacdb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SHA256:9fff6db2214108f9dea4d486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SHA256:b4eda2043c8086db3cfb72db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SHA256:0f3e09222b2286f2ec1f99b4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SHA256:550d91ae2c862cec444f36ce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SHA256:a387eabb4d4d36f3b36c08c8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SHA256:3d504969caa056aa439c70f5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SHA256:13eeb79da3ae7c93cb052f4e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SHA256:2cb0d59ae2bf0492a6704339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SHA256:5a05396a7c65a0e876ee7148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SHA256:0ad81019926f91ff8a22f734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SHA256:af964ef89d4ae64b6034c316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SHA256:06c9f1ea4b1e2f6f79760395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SHA256:8a3a0cebef80a27550c0aabf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SHA256:1cb5b9a12e9d25b602879a75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SHA256:c145247f61b79257870acad5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SHA256:be25193f4a4dff607f7fe0e2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SHA256:89bff480a9b333603f168308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SHA256:a08b4fa89270c633c7aa93f2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SHA256:2fb8cddf915bac09ac0ddfa8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SHA256:c9758b16498e5997861ab1e9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SHA256:2862c3fcb990266d8d14b8d3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SHA256:8b48404b00f8a2148b49d76c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SHA256:6d3f39d594356fc876934406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SHA256:ebc19f356abd68958cf9737c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SHA256:24b6a09bbf390cfcb54a041b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SHA256:1c0fbb272a5ab5cc8aa32753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SHA256:981bce199b972dfa36d3c1b0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SHA256:911e341037243968e252cf36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SHA256:02ba53dac570f218fa3549c1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SHA256:9c3563eb8c32b2dad15e07f6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SHA256:7e155f8dcde6132076b887e8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SHA256:0d1dbd5c24c88d46dee72955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SHA256:972bfdcd321420cd78591ea9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SHA256:cc4ed847bd54f033bbf42410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SHA256:5c94c45e98912248dec38dc5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SHA256:41b2496b63f99def3e6326da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SHA256:a119db0ebc9f559283a50e91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SHA256:d97673480657aeb47db3ff24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SHA256:8dd04929a5d1002b4f6227fc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SHA256:44ad255299fb1541021011ab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SHA256:7466fff7e9e488399cc918b7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SHA256:4e6635c08ac35f4bcd29415b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SHA256:6cc17e2c0afbeedf3b93ce5b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SHA256:e6032830f4a2eb4495fc3d2c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SHA256:7d53839f47855ae1f692465a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SHA256:a4bd2428041f6f0cba0b9443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SHA256:63cd7ea231194d2f7f4cb947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SHA256:922cd22e00f46f5b6fc0a60f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SHA256:bab61928e4c1059647eaa382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SHA256:a194ded4962760251a27638a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SHA256:80a99fd7366e4391504ab1ff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SHA256:6e625a28857c9196cee90405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SHA256:36d282ad73ce2fa8ac1f0c2b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SHA256:21362fe4b07447510efc55fe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SHA256:f3031879c2a4940ba9efb8d7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SHA256:92b419a94049660898c8f5b5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SHA256:6addc4bfd289d19d925e95f7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SHA256:a48c972100e668f6bd56da1f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SHA256:67fc2e8f77029b8f56e68ce6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SHA256:9892aff27f5838d1325482e5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SHA256:adc46558e410913bf3633b3e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2026-10-26T11:35:10Z</dcterms:created>
  <dcterms:modified xmlns:dcterms="http://purl.org/dc/terms/" xmlns:xsi="http://www.w3.org/2001/XMLSchema-instance" xsi:type="dcterms:W3CDTF">2026-10-26T11:35:10Z</dcterms:modified>
</cp:coreProperties>
</file>