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rcial_Bid_Estimator" sheetId="1" state="visible" r:id="rId1"/>
    <sheet xmlns:r="http://schemas.openxmlformats.org/officeDocument/2006/relationships" name="Manufacturer_Warranty_Matrix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32" customWidth="1" min="2" max="2"/>
    <col width="16" customWidth="1" min="3" max="3"/>
    <col width="19" customWidth="1" min="4" max="4"/>
    <col width="19" customWidth="1" min="5" max="5"/>
    <col width="19" customWidth="1" min="6" max="6"/>
    <col width="24" customWidth="1" min="7" max="7"/>
  </cols>
  <sheetData>
    <row r="1" ht="28" customHeight="1">
      <c r="A1" s="1" t="inlineStr">
        <is>
          <t>Roof Section</t>
        </is>
      </c>
      <c r="B1" s="1" t="inlineStr">
        <is>
          <t>System Type</t>
        </is>
      </c>
      <c r="C1" s="1" t="inlineStr">
        <is>
          <t>Area (Sq Ft)</t>
        </is>
      </c>
      <c r="D1" s="1" t="inlineStr">
        <is>
          <t>Tear-Off ($/Sq)</t>
        </is>
      </c>
      <c r="E1" s="1" t="inlineStr">
        <is>
          <t>Membrane ($/Sq)</t>
        </is>
      </c>
      <c r="F1" s="1" t="inlineStr">
        <is>
          <t>Labor ($/Sq)</t>
        </is>
      </c>
      <c r="G1" s="1" t="inlineStr">
        <is>
          <t>Section Total ($)</t>
        </is>
      </c>
    </row>
    <row r="2" ht="20" customHeight="1">
      <c r="A2" s="2" t="inlineStr">
        <is>
          <t>Main Warehouse Deck</t>
        </is>
      </c>
      <c r="B2" s="3" t="inlineStr">
        <is>
          <t>60-mil TPO Single-Ply</t>
        </is>
      </c>
      <c r="C2" s="4" t="n">
        <v>18500</v>
      </c>
      <c r="D2" s="5" t="n">
        <v>85</v>
      </c>
      <c r="E2" s="5" t="n">
        <v>240</v>
      </c>
      <c r="F2" s="5" t="n">
        <v>115</v>
      </c>
      <c r="G2" s="3">
        <f>(C2/100)*(D2+E2+F2)</f>
        <v/>
      </c>
    </row>
    <row r="3" ht="20" customHeight="1">
      <c r="A3" s="6" t="inlineStr">
        <is>
          <t>Front Office Mansard</t>
        </is>
      </c>
      <c r="B3" s="7" t="inlineStr">
        <is>
          <t>24-Gauge Standing Seam Metal</t>
        </is>
      </c>
      <c r="C3" s="8" t="n">
        <v>3200</v>
      </c>
      <c r="D3" s="9" t="n">
        <v>110</v>
      </c>
      <c r="E3" s="9" t="n">
        <v>385</v>
      </c>
      <c r="F3" s="9" t="n">
        <v>160</v>
      </c>
      <c r="G3" s="7">
        <f>(C3/100)*(D3+E3+F3)</f>
        <v/>
      </c>
    </row>
    <row r="4" ht="20" customHeight="1">
      <c r="A4" s="2" t="inlineStr">
        <is>
          <t>Loading Dock Overhang</t>
        </is>
      </c>
      <c r="B4" s="3" t="inlineStr">
        <is>
          <t>EPDM Ballasted Membrane</t>
        </is>
      </c>
      <c r="C4" s="4" t="n">
        <v>2400</v>
      </c>
      <c r="D4" s="5" t="n">
        <v>75</v>
      </c>
      <c r="E4" s="5" t="n">
        <v>195</v>
      </c>
      <c r="F4" s="5" t="n">
        <v>95</v>
      </c>
      <c r="G4" s="3">
        <f>(C4/100)*(D4+E4+F4)</f>
        <v/>
      </c>
    </row>
    <row r="5" ht="20" customHeight="1">
      <c r="A5" s="10" t="inlineStr">
        <is>
          <t>Total Roof Footprint</t>
        </is>
      </c>
      <c r="B5" s="10" t="inlineStr">
        <is>
          <t>All Commercial Sections</t>
        </is>
      </c>
      <c r="C5" s="10">
        <f>SUM(C2:C4)</f>
        <v/>
      </c>
      <c r="D5" s="10">
        <f>AVERAGE(D2:D4)</f>
        <v/>
      </c>
      <c r="E5" s="10">
        <f>AVERAGE(E2:E4)</f>
        <v/>
      </c>
      <c r="F5" s="10">
        <f>AVERAGE(F2:F4)</f>
        <v/>
      </c>
      <c r="G5" s="10">
        <f>SUM(G2:G4)</f>
        <v/>
      </c>
    </row>
    <row r="6" ht="20" customHeight="1">
      <c r="A6" s="2" t="inlineStr">
        <is>
          <t>Sales Tax / Material Surcharge (8.25%)</t>
        </is>
      </c>
      <c r="B6" s="3" t="inlineStr"/>
      <c r="C6" s="3" t="inlineStr"/>
      <c r="D6" s="3" t="inlineStr"/>
      <c r="E6" s="3" t="inlineStr"/>
      <c r="F6" s="3" t="inlineStr"/>
      <c r="G6" s="3">
        <f>G5*0.0825</f>
        <v/>
      </c>
    </row>
    <row r="7" ht="20" customHeight="1">
      <c r="A7" s="6" t="inlineStr">
        <is>
          <t>Manufacturer 20-Yr NDL Warranty Inspection</t>
        </is>
      </c>
      <c r="B7" s="7" t="inlineStr"/>
      <c r="C7" s="7" t="inlineStr"/>
      <c r="D7" s="7" t="inlineStr"/>
      <c r="E7" s="7" t="inlineStr"/>
      <c r="F7" s="7" t="inlineStr"/>
      <c r="G7" s="9" t="n">
        <v>2850</v>
      </c>
    </row>
    <row r="8" ht="20" customHeight="1">
      <c r="A8" s="10" t="inlineStr">
        <is>
          <t>TOTAL PROPOSED BID PRICE</t>
        </is>
      </c>
      <c r="B8" s="10" t="inlineStr">
        <is>
          <t>Client Firm Fixed Price</t>
        </is>
      </c>
      <c r="C8" s="10" t="inlineStr"/>
      <c r="D8" s="10" t="inlineStr"/>
      <c r="E8" s="10" t="inlineStr"/>
      <c r="F8" s="10" t="inlineStr"/>
      <c r="G8" s="10">
        <f>G5+G6+G7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31" customWidth="1" min="2" max="2"/>
    <col width="18" customWidth="1" min="3" max="3"/>
    <col width="22" customWidth="1" min="4" max="4"/>
    <col width="18" customWidth="1" min="5" max="5"/>
  </cols>
  <sheetData>
    <row r="1" ht="28" customHeight="1">
      <c r="A1" s="1" t="inlineStr">
        <is>
          <t>Membrane Thickness</t>
        </is>
      </c>
      <c r="B1" s="1" t="inlineStr">
        <is>
          <t>Manufacturer</t>
        </is>
      </c>
      <c r="C1" s="1" t="inlineStr">
        <is>
          <t>Warranty Term</t>
        </is>
      </c>
      <c r="D1" s="1" t="inlineStr">
        <is>
          <t>Wind Uplift Rating</t>
        </is>
      </c>
      <c r="E1" s="1" t="inlineStr">
        <is>
          <t>Inspection Fee</t>
        </is>
      </c>
    </row>
    <row r="2" ht="20" customHeight="1">
      <c r="A2" s="2" t="inlineStr">
        <is>
          <t>60-mil TPO</t>
        </is>
      </c>
      <c r="B2" s="3" t="inlineStr">
        <is>
          <t>Carlisle SynTec</t>
        </is>
      </c>
      <c r="C2" s="3" t="inlineStr">
        <is>
          <t>20-Year NDL</t>
        </is>
      </c>
      <c r="D2" s="3" t="inlineStr">
        <is>
          <t>FM 1-90 Approved</t>
        </is>
      </c>
      <c r="E2" s="5" t="n">
        <v>1200</v>
      </c>
    </row>
    <row r="3" ht="20" customHeight="1">
      <c r="A3" s="6" t="inlineStr">
        <is>
          <t>80-mil TPO</t>
        </is>
      </c>
      <c r="B3" s="7" t="inlineStr">
        <is>
          <t>Firestone Building Products</t>
        </is>
      </c>
      <c r="C3" s="7" t="inlineStr">
        <is>
          <t>25-Year NDL</t>
        </is>
      </c>
      <c r="D3" s="7" t="inlineStr">
        <is>
          <t>FM 1-120 Approved</t>
        </is>
      </c>
      <c r="E3" s="9" t="n">
        <v>1500</v>
      </c>
    </row>
    <row r="4" ht="20" customHeight="1">
      <c r="A4" s="2" t="inlineStr">
        <is>
          <t>24-Gauge Metal</t>
        </is>
      </c>
      <c r="B4" s="3" t="inlineStr">
        <is>
          <t>Berridge Architectural</t>
        </is>
      </c>
      <c r="C4" s="3" t="inlineStr">
        <is>
          <t>30-Year Finish</t>
        </is>
      </c>
      <c r="D4" s="3" t="inlineStr">
        <is>
          <t>Class 4 Impact</t>
        </is>
      </c>
      <c r="E4" s="5" t="n">
        <v>950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SHA256:736408de4b2f76c09ddefddb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SHA256:856eb336c6d212e1e2e87b11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SHA256:ec6cd5523f32bbffb1efc416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SHA256:cd3a0471d3799ddc7c1497e4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SHA256:dae1bf716893431ad9429251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SHA256:43c231db6597cc67119153fc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SHA256:977fe3b652788c83fcd36a58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SHA256:65686783c071adc282287367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SHA256:fef5cee7adfc3fa31592ed94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SHA256:c481d3a93ab051740c43002f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SHA256:73e07c63638a9899c3a4ce9b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SHA256:0314481884d44efe6c349f3d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SHA256:225ee35d1b306fb7dd65bab0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SHA256:51fedded85de91a76c375707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SHA256:9dc54aff8ce644fd5a88e3de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SHA256:485622dcceefc1f7aad9ab13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SHA256:8787536db38f18e8ed03db5b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SHA256:72df427ec92a8ec8549e98aa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SHA256:0b257e44ee4ac768e864b225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SHA256:1341b2b5d271caebb9148ccd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SHA256:1ef8071d14581496fd86de45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SHA256:34950ab517bbc47d2eed2587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SHA256:4d414c498d1c620d04d53461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SHA256:28db724d0dcbae07ec8c8c37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SHA256:62759839c19ccc18837e26c8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SHA256:096b006dcfa987c7ddbec066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SHA256:83329b1d60a0ada436003d34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SHA256:8a8c0ade27520f662ee89aab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SHA256:f0681ee81d1879714ea397e7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SHA256:2d66ed4c7e57afb7922322f9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SHA256:36e951123920db4d0a513648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SHA256:30b501056492beb6e30a298f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SHA256:6c500eb9e0258ed0733f2ed4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SHA256:45706bff7b3d831b8b0ef9fb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SHA256:4c746c3527633c358ceb6281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SHA256:f59819f54436c442ffb25416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SHA256:91d236e011cbeeab52107c68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SHA256:1ab406f3b76dbd38e752ce98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SHA256:e36ddd5dceb15753437ca165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SHA256:09b80f6e5923eb125a97bab5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SHA256:35c1160ef7a2b0b85d32e3b8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SHA256:e87d6e06d90f7a7601448d56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SHA256:346146ffad405f69851645bb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SHA256:b9c2d24801cb5fa95b3fc21a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SHA256:4e2370c3e04904a9459d55d3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SHA256:30322ad3502c47c9723d766a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SHA256:35c330e4bb2afab1aca0164a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SHA256:06543924f955d58ce0e84449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SHA256:52c820708154204f748f7196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SHA256:580ee8fa1b46024e925fa875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SHA256:678c82fff25fbf73c38a4469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SHA256:ba6a39a928c0bc2cc75550a4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SHA256:e078b5bcd22bf1e52c999a8f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SHA256:1914e618a85c17e38430e22f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SHA256:adc410391d54dfb363bb992d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SHA256:dafdd442a3a7708da94682cf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SHA256:204e711ddf9208bc794de3f9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SHA256:3d2794c1cd80f6b8e0d63dc0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SHA256:697079bf672a2b5e20bc3c09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SHA256:9a4b2003812bb414a3a5845b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SHA256:b581b1f1646052707267a199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SHA256:57ab9d546dd0dbb640f19c4d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SHA256:f548d10efd90deaaec5520d2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SHA256:12e7006e2ea3fa1282a336b5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SHA256:65f61f7caac5a0d72a08ffc1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SHA256:12413bbf5a74b4db4c0f0cda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SHA256:e02ea0c7360bacdfa1af541a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SHA256:86c083b70018a0b84d4847ce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SHA256:d385e9777ab666ca87a0238f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SHA256:ef25810f36c68dfe64335f4b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SHA256:be900a8c6d7d849157e6acac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SHA256:d70b7d4e5551325952a0b193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SHA256:164520cfd5db9f9d856ac834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SHA256:d998a46aaa23867a75effdc7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SHA256:ef04663827f0b9b393b06f38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SHA256:fbb766f9342e67173c2f3214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SHA256:85d7051368e999f6aafe7a7d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SHA256:53c083b8440ccbc68fbafc60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SHA256:829faee8ff1555f5118edc0f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SHA256:4a121119aebe2472de92c67f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SHA256:370ca1bdbd187c6c204c094b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SHA256:2acbeea3c30739f036619e93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SHA256:cbc9baac11ce872039ecd625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SHA256:f082e785db88a1c4f25f81cb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SHA256:ceaf8c033eeba79a3dffe9ae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SHA256:64318429595f5dd3dcc6ac2e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SHA256:0499309ca500c000a2b03dcc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SHA256:4780cad24fd7eb09a5f1b48f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SHA256:ea33a90f13706ffcd7cfed26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SHA256:783090df6635cd6eee4d9c00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SHA256:bee55508e8f2cd9df5963269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SHA256:5651fab43822fd4b8e67c162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SHA256:685fb36079e2d956760f5c3d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SHA256:f30e1b501f86003d733ad9e1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SHA256:9dd36692a5c7e6a4cbff6800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SHA256:90adff31fbe63dc30257c558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SHA256:98f7e2288c0b82c5f8341b17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SHA256:34e5870d9183bfb9be63d6d7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SHA256:02542aa07e2176be0e4e1476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SHA256:98f7c103690c2585907f4115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SHA256:0d2d60825806ce5659e9ab07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SHA256:98261e38a8d07d9e57da3c35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SHA256:6b1a14801b29869eafb863c1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SHA256:048d9f6f53d27097a5ee210a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SHA256:620dc08a45082939b7957871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SHA256:9850504ad58889ad7955ec85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SHA256:2403f4bf0919b2185eccbd07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SHA256:c03290b5ed102b26681015ed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SHA256:3b38b92554ec95bba86f9f71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2026-10-28T04:33:36Z</dcterms:created>
  <dcterms:modified xmlns:dcterms="http://purl.org/dc/terms/" xmlns:xsi="http://www.w3.org/2001/XMLSchema-instance" xsi:type="dcterms:W3CDTF">2026-10-28T04:33:36Z</dcterms:modified>
</cp:coreProperties>
</file>