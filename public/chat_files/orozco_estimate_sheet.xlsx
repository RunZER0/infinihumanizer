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ommercial_Bid_Estimator" sheetId="1" r:id="rId1"/>
    <sheet name="Manufacturer_Warranty_Matrix" sheetId="2" r:id="rId2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</Relationships>
</file>

<file path=xl/worksheets/sheet1.xml><?xml version="1.0" encoding="utf-8"?>
<worksheet xmlns="http://schemas.openxmlformats.org/spreadsheetml/2006/main">
  <sheetData>
    <row r="1">
      <c r="A1" t="inlineStr">
        <is>
          <t>Roof Section</t>
        </is>
      </c>
      <c r="B1" t="inlineStr">
        <is>
          <t>System Type</t>
        </is>
      </c>
      <c r="C1" t="inlineStr">
        <is>
          <t>Area (Sq Ft)</t>
        </is>
      </c>
      <c r="D1" t="inlineStr">
        <is>
          <t>Tear-Off ($/Sq)</t>
        </is>
      </c>
      <c r="E1" t="inlineStr">
        <is>
          <t>Membrane ($/Sq)</t>
        </is>
      </c>
      <c r="F1" t="inlineStr">
        <is>
          <t>Labor ($/Sq)</t>
        </is>
      </c>
      <c r="G1" t="inlineStr">
        <is>
          <t>Section Total ($)</t>
        </is>
      </c>
    </row>
    <row r="2">
      <c r="A2" t="inlineStr">
        <is>
          <t>Main Warehouse Deck</t>
        </is>
      </c>
      <c r="B2" t="inlineStr">
        <is>
          <t>60-mil TPO Single-Ply</t>
        </is>
      </c>
      <c r="C2">
        <v>18500</v>
      </c>
      <c r="D2">
        <v>85.0</v>
      </c>
      <c r="E2">
        <v>240.0</v>
      </c>
      <c r="F2">
        <v>115.0</v>
      </c>
      <c r="G2">
        <f>(C2/100)*(D2+E2+F2)</f>
      </c>
    </row>
    <row r="3">
      <c r="A3" t="inlineStr">
        <is>
          <t>Front Office Mansard</t>
        </is>
      </c>
      <c r="B3" t="inlineStr">
        <is>
          <t>24-Gauge Standing Seam Metal</t>
        </is>
      </c>
      <c r="C3">
        <v>3200</v>
      </c>
      <c r="D3">
        <v>110.0</v>
      </c>
      <c r="E3">
        <v>385.0</v>
      </c>
      <c r="F3">
        <v>160.0</v>
      </c>
      <c r="G3">
        <f>(C3/100)*(D3+E3+F3)</f>
      </c>
    </row>
    <row r="4">
      <c r="A4" t="inlineStr">
        <is>
          <t>Loading Dock Overhang</t>
        </is>
      </c>
      <c r="B4" t="inlineStr">
        <is>
          <t>EPDM Ballasted Membrane</t>
        </is>
      </c>
      <c r="C4">
        <v>2400</v>
      </c>
      <c r="D4">
        <v>75.0</v>
      </c>
      <c r="E4">
        <v>195.0</v>
      </c>
      <c r="F4">
        <v>95.0</v>
      </c>
      <c r="G4">
        <f>(C4/100)*(D4+E4+F4)</f>
      </c>
    </row>
    <row r="5">
      <c r="A5" t="inlineStr">
        <is>
          <t>Total Roof Footprint</t>
        </is>
      </c>
      <c r="B5" t="inlineStr">
        <is>
          <t>All Commercial Sections</t>
        </is>
      </c>
      <c r="C5">
        <f>SUM(C2:C4)</f>
      </c>
      <c r="D5">
        <f>AVERAGE(D2:D4)</f>
      </c>
      <c r="E5">
        <f>AVERAGE(E2:E4)</f>
      </c>
      <c r="F5">
        <f>AVERAGE(F2:F4)</f>
      </c>
      <c r="G5">
        <f>SUM(G2:G4)</f>
      </c>
    </row>
    <row r="6">
      <c r="A6" t="inlineStr">
        <is>
          <t>Sales Tax / Material Surcharge (8.25%)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/>
        </is>
      </c>
      <c r="F6" t="inlineStr">
        <is>
          <t/>
        </is>
      </c>
      <c r="G6">
        <f>G5*0.0825</f>
      </c>
    </row>
    <row r="7">
      <c r="A7" t="inlineStr">
        <is>
          <t>Manufacturer 20-Yr NDL Warranty Inspection</t>
        </is>
      </c>
      <c r="B7" t="inlineStr">
        <is>
          <t/>
        </is>
      </c>
      <c r="C7" t="inlineStr">
        <is>
          <t/>
        </is>
      </c>
      <c r="D7" t="inlineStr">
        <is>
          <t/>
        </is>
      </c>
      <c r="E7" t="inlineStr">
        <is>
          <t/>
        </is>
      </c>
      <c r="F7" t="inlineStr">
        <is>
          <t/>
        </is>
      </c>
      <c r="G7">
        <v>2850.0</v>
      </c>
    </row>
    <row r="8">
      <c r="A8" t="inlineStr">
        <is>
          <t>TOTAL PROPOSED BID PRICE</t>
        </is>
      </c>
      <c r="B8" t="inlineStr">
        <is>
          <t>Client Firm Fixed Price</t>
        </is>
      </c>
      <c r="C8" t="inlineStr">
        <is>
          <t/>
        </is>
      </c>
      <c r="D8" t="inlineStr">
        <is>
          <t/>
        </is>
      </c>
      <c r="E8" t="inlineStr">
        <is>
          <t/>
        </is>
      </c>
      <c r="F8" t="inlineStr">
        <is>
          <t/>
        </is>
      </c>
      <c r="G8">
        <f>G5+G6+G7</f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Membrane Thickness</t>
        </is>
      </c>
      <c r="B1" t="inlineStr">
        <is>
          <t>Manufacturer</t>
        </is>
      </c>
      <c r="C1" t="inlineStr">
        <is>
          <t>Warranty Term</t>
        </is>
      </c>
      <c r="D1" t="inlineStr">
        <is>
          <t>Wind Uplift Rating</t>
        </is>
      </c>
      <c r="E1" t="inlineStr">
        <is>
          <t>Inspection Fee</t>
        </is>
      </c>
    </row>
    <row r="2">
      <c r="A2" t="inlineStr">
        <is>
          <t>60-mil TPO</t>
        </is>
      </c>
      <c r="B2" t="inlineStr">
        <is>
          <t>Carlisle SynTec</t>
        </is>
      </c>
      <c r="C2" t="inlineStr">
        <is>
          <t>20-Year NDL</t>
        </is>
      </c>
      <c r="D2" t="inlineStr">
        <is>
          <t>FM 1-90 Approved</t>
        </is>
      </c>
      <c r="E2">
        <v>1200.0</v>
      </c>
    </row>
    <row r="3">
      <c r="A3" t="inlineStr">
        <is>
          <t>80-mil TPO</t>
        </is>
      </c>
      <c r="B3" t="inlineStr">
        <is>
          <t>Firestone Building Products</t>
        </is>
      </c>
      <c r="C3" t="inlineStr">
        <is>
          <t>25-Year NDL</t>
        </is>
      </c>
      <c r="D3" t="inlineStr">
        <is>
          <t>FM 1-120 Approved</t>
        </is>
      </c>
      <c r="E3">
        <v>1500.0</v>
      </c>
    </row>
    <row r="4">
      <c r="A4" t="inlineStr">
        <is>
          <t>24-Gauge Metal</t>
        </is>
      </c>
      <c r="B4" t="inlineStr">
        <is>
          <t>Berridge Architectural</t>
        </is>
      </c>
      <c r="C4" t="inlineStr">
        <is>
          <t>30-Year Finish</t>
        </is>
      </c>
      <c r="D4" t="inlineStr">
        <is>
          <t>Class 4 Impact</t>
        </is>
      </c>
      <c r="E4">
        <v>950.0</v>
      </c>
    </row>
  </sheetData>
</worksheet>
</file>