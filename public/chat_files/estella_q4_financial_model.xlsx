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ARR_&amp;_P&amp;L_Forecast" sheetId="1" r:id="rId1"/>
    <sheet name="Unit_Economics" sheetId="2" r:id="rId2"/>
    <sheet name="Cap_Table_&amp;_Runway" sheetId="3" r:id="rId3"/>
  </sheets>
</workbook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  <Relationship Id="rId2" Type="http://schemas.openxmlformats.org/officeDocument/2006/relationships/worksheet" Target="worksheets/sheet2.xml"/>
  <Relationship Id="rId3" Type="http://schemas.openxmlformats.org/officeDocument/2006/relationships/worksheet" Target="worksheets/sheet3.xml"/>
</Relationships>
</file>

<file path=xl/worksheets/sheet1.xml><?xml version="1.0" encoding="utf-8"?>
<worksheet xmlns="http://schemas.openxmlformats.org/spreadsheetml/2006/main">
  <sheetData>
    <row r="1">
      <c r="A1" t="inlineStr">
        <is>
          <t>Financial Metric ($k)</t>
        </is>
      </c>
      <c r="B1" t="inlineStr">
        <is>
          <t>Q1 2026</t>
        </is>
      </c>
      <c r="C1" t="inlineStr">
        <is>
          <t>Q2 2026</t>
        </is>
      </c>
      <c r="D1" t="inlineStr">
        <is>
          <t>Q3 2026</t>
        </is>
      </c>
      <c r="E1" t="inlineStr">
        <is>
          <t>Q4 2026 (Est)</t>
        </is>
      </c>
      <c r="F1" t="inlineStr">
        <is>
          <t>FY 2026 Total</t>
        </is>
      </c>
      <c r="G1" t="inlineStr">
        <is>
          <t>FY 2027 Plan</t>
        </is>
      </c>
    </row>
    <row r="2">
      <c r="A2" t="inlineStr">
        <is>
          <t>Active Enterprise Terminals</t>
        </is>
      </c>
      <c r="B2">
        <v>180</v>
      </c>
      <c r="C2">
        <v>220</v>
      </c>
      <c r="D2">
        <v>270</v>
      </c>
      <c r="E2">
        <v>330</v>
      </c>
      <c r="F2">
        <f>D2</f>
      </c>
      <c r="G2">
        <v>520</v>
      </c>
    </row>
    <row r="3">
      <c r="A3" t="inlineStr">
        <is>
          <t>Annual Recurring Revenue (ARR)</t>
        </is>
      </c>
      <c r="B3">
        <v>2800</v>
      </c>
      <c r="C3">
        <v>3400</v>
      </c>
      <c r="D3">
        <v>4200</v>
      </c>
      <c r="E3">
        <v>5100</v>
      </c>
      <c r="F3">
        <f>D3</f>
      </c>
      <c r="G3">
        <v>7800</v>
      </c>
    </row>
    <row r="4">
      <c r="A4" t="inlineStr">
        <is>
          <t>Gross Subscription Revenue</t>
        </is>
      </c>
      <c r="B4">
        <f>B3/4</f>
      </c>
      <c r="C4">
        <f>C3/4</f>
      </c>
      <c r="D4">
        <f>D3/4</f>
      </c>
      <c r="E4">
        <f>E3/4</f>
      </c>
      <c r="F4">
        <f>SUM(B4:E4)</f>
      </c>
      <c r="G4">
        <f>G3</f>
      </c>
    </row>
    <row r="5">
      <c r="A5" t="inlineStr">
        <is>
          <t>Cloud Infrastructure COGS</t>
        </is>
      </c>
      <c r="B5">
        <v>182</v>
      </c>
      <c r="C5">
        <v>204</v>
      </c>
      <c r="D5">
        <v>238</v>
      </c>
      <c r="E5">
        <v>280</v>
      </c>
      <c r="F5">
        <f>SUM(B5:E5)</f>
      </c>
      <c r="G5">
        <v>380</v>
      </c>
    </row>
    <row r="6">
      <c r="A6" t="inlineStr">
        <is>
          <t>Customer Support &amp; Onboarding</t>
        </is>
      </c>
      <c r="B6">
        <v>90</v>
      </c>
      <c r="C6">
        <v>110</v>
      </c>
      <c r="D6">
        <v>130</v>
      </c>
      <c r="E6">
        <v>160</v>
      </c>
      <c r="F6">
        <f>SUM(B6:E6)</f>
      </c>
      <c r="G6">
        <v>240</v>
      </c>
    </row>
    <row r="7">
      <c r="A7" t="inlineStr">
        <is>
          <t>Total Cost of Goods Sold</t>
        </is>
      </c>
      <c r="B7">
        <f>B5+B6</f>
      </c>
      <c r="C7">
        <f>C5+C6</f>
      </c>
      <c r="D7">
        <f>D5+D6</f>
      </c>
      <c r="E7">
        <f>E5+E6</f>
      </c>
      <c r="F7">
        <f>SUM(B7:E7)</f>
      </c>
      <c r="G7">
        <f>G5+G6</f>
      </c>
    </row>
    <row r="8">
      <c r="A8" t="inlineStr">
        <is>
          <t>Gross Profit</t>
        </is>
      </c>
      <c r="B8">
        <f>B4-B7</f>
      </c>
      <c r="C8">
        <f>C4-C7</f>
      </c>
      <c r="D8">
        <f>D4-D7</f>
      </c>
      <c r="E8">
        <f>E4-E7</f>
      </c>
      <c r="F8">
        <f>SUM(B8:E8)</f>
      </c>
      <c r="G8">
        <f>G4-G7</f>
      </c>
    </row>
    <row r="9">
      <c r="A9" t="inlineStr">
        <is>
          <t>Gross Margin %</t>
        </is>
      </c>
      <c r="B9">
        <f>B8/B4</f>
      </c>
      <c r="C9">
        <f>C8/C4</f>
      </c>
      <c r="D9">
        <f>D8/D4</f>
      </c>
      <c r="E9">
        <f>E8/E4</f>
      </c>
      <c r="F9">
        <f>F8/F4</f>
      </c>
      <c r="G9">
        <f>G8/G4</f>
      </c>
    </row>
    <row r="10">
      <c r="A10" t="inlineStr">
        <is>
          <t>R&amp;D Engineering OpEx</t>
        </is>
      </c>
      <c r="B10">
        <v>260</v>
      </c>
      <c r="C10">
        <v>275</v>
      </c>
      <c r="D10">
        <v>290</v>
      </c>
      <c r="E10">
        <v>310</v>
      </c>
      <c r="F10">
        <f>SUM(B10:E10)</f>
      </c>
      <c r="G10">
        <v>420</v>
      </c>
    </row>
    <row r="11">
      <c r="A11" t="inlineStr">
        <is>
          <t>Sales &amp; Marketing OpEx</t>
        </is>
      </c>
      <c r="B11">
        <v>160</v>
      </c>
      <c r="C11">
        <v>180</v>
      </c>
      <c r="D11">
        <v>210</v>
      </c>
      <c r="E11">
        <v>240</v>
      </c>
      <c r="F11">
        <f>SUM(B11:E11)</f>
      </c>
      <c r="G11">
        <v>350</v>
      </c>
    </row>
    <row r="12">
      <c r="A12" t="inlineStr">
        <is>
          <t>General &amp; Administrative OpEx</t>
        </is>
      </c>
      <c r="B12">
        <v>85</v>
      </c>
      <c r="C12">
        <v>90</v>
      </c>
      <c r="D12">
        <v>95</v>
      </c>
      <c r="E12">
        <v>105</v>
      </c>
      <c r="F12">
        <f>SUM(B12:E12)</f>
      </c>
      <c r="G12">
        <v>150</v>
      </c>
    </row>
    <row r="13">
      <c r="A13" t="inlineStr">
        <is>
          <t>Total Operating Expenses</t>
        </is>
      </c>
      <c r="B13">
        <f>B10+B11+B12</f>
      </c>
      <c r="C13">
        <f>C10+C11+C12</f>
      </c>
      <c r="D13">
        <f>D10+D11+D12</f>
      </c>
      <c r="E13">
        <f>E10+E11+E12</f>
      </c>
      <c r="F13">
        <f>SUM(B13:E13)</f>
      </c>
      <c r="G13">
        <f>G10+G11+G12</f>
      </c>
    </row>
    <row r="14">
      <c r="A14" t="inlineStr">
        <is>
          <t>Net Operating Income (Burn)</t>
        </is>
      </c>
      <c r="B14">
        <f>B8-B13</f>
      </c>
      <c r="C14">
        <f>C8-C13</f>
      </c>
      <c r="D14">
        <f>D8-D13</f>
      </c>
      <c r="E14">
        <f>E8-E13</f>
      </c>
      <c r="F14">
        <f>SUM(B14:E14)</f>
      </c>
      <c r="G14">
        <f>G8-G13</f>
      </c>
    </row>
    <row r="15">
      <c r="A15" t="inlineStr">
        <is>
          <t>Ending Cash Balance</t>
        </is>
      </c>
      <c r="B15">
        <v>6200</v>
      </c>
      <c r="C15">
        <v>5500</v>
      </c>
      <c r="D15">
        <v>4900</v>
      </c>
      <c r="E15">
        <v>4420</v>
      </c>
      <c r="F15">
        <f>E15</f>
      </c>
      <c r="G15">
        <v>7500</v>
      </c>
    </row>
  </sheetData>
</worksheet>
</file>

<file path=xl/worksheets/sheet2.xml><?xml version="1.0" encoding="utf-8"?>
<worksheet xmlns="http://schemas.openxmlformats.org/spreadsheetml/2006/main">
  <sheetData>
    <row r="1">
      <c r="A1" t="inlineStr">
        <is>
          <t>KPI Metric</t>
        </is>
      </c>
      <c r="B1" t="inlineStr">
        <is>
          <t>Q1 Actuals</t>
        </is>
      </c>
      <c r="C1" t="inlineStr">
        <is>
          <t>Q2 Actuals</t>
        </is>
      </c>
      <c r="D1" t="inlineStr">
        <is>
          <t>Q3 Actuals</t>
        </is>
      </c>
      <c r="E1" t="inlineStr">
        <is>
          <t>Q4 Target</t>
        </is>
      </c>
      <c r="F1" t="inlineStr">
        <is>
          <t>Benchmark Target</t>
        </is>
      </c>
    </row>
    <row r="2">
      <c r="A2" t="inlineStr">
        <is>
          <t>Customer Acquisition Cost (CAC)</t>
        </is>
      </c>
      <c r="B2">
        <v>520.0</v>
      </c>
      <c r="C2">
        <v>495.0</v>
      </c>
      <c r="D2">
        <v>480.0</v>
      </c>
      <c r="E2">
        <v>460.0</v>
      </c>
      <c r="F2">
        <v>650.0</v>
      </c>
    </row>
    <row r="3">
      <c r="A3" t="inlineStr">
        <is>
          <t>Average Revenue Per Unit (ARPU / Mo)</t>
        </is>
      </c>
      <c r="B3">
        <v>480.0</v>
      </c>
      <c r="C3">
        <v>495.0</v>
      </c>
      <c r="D3">
        <v>507.0</v>
      </c>
      <c r="E3">
        <v>520.0</v>
      </c>
      <c r="F3">
        <v>400.0</v>
      </c>
    </row>
    <row r="4">
      <c r="A4" t="inlineStr">
        <is>
          <t>Customer Lifetime Value (LTV)</t>
        </is>
      </c>
      <c r="B4">
        <v>7200.0</v>
      </c>
      <c r="C4">
        <v>7800.0</v>
      </c>
      <c r="D4">
        <v>8450.0</v>
      </c>
      <c r="E4">
        <v>8900.0</v>
      </c>
      <c r="F4">
        <v>5500.0</v>
      </c>
    </row>
    <row r="5">
      <c r="A5" t="inlineStr">
        <is>
          <t>LTV / CAC Ratio</t>
        </is>
      </c>
      <c r="B5">
        <f>C4/C2</f>
      </c>
      <c r="C5">
        <f>D4/D2</f>
      </c>
      <c r="D5">
        <f>E4/E2</f>
      </c>
      <c r="E5">
        <f>F4/F2</f>
      </c>
      <c r="F5">
        <f>G4/G2</f>
      </c>
    </row>
    <row r="6">
      <c r="A6" t="inlineStr">
        <is>
          <t>Net Revenue Retention (NRR)</t>
        </is>
      </c>
      <c r="B6" t="inlineStr">
        <is>
          <t>108%</t>
        </is>
      </c>
      <c r="C6" t="inlineStr">
        <is>
          <t>111%</t>
        </is>
      </c>
      <c r="D6" t="inlineStr">
        <is>
          <t>114%</t>
        </is>
      </c>
      <c r="E6" t="inlineStr">
        <is>
          <t>116%</t>
        </is>
      </c>
      <c r="F6" t="inlineStr">
        <is>
          <t>110%</t>
        </is>
      </c>
    </row>
    <row r="7">
      <c r="A7" t="inlineStr">
        <is>
          <t>CAC Payback Period (Months)</t>
        </is>
      </c>
      <c r="B7">
        <v>7.8</v>
      </c>
      <c r="C7">
        <v>7.5</v>
      </c>
      <c r="D7">
        <v>7.2</v>
      </c>
      <c r="E7">
        <v>6.9</v>
      </c>
      <c r="F7">
        <v>12.0</v>
      </c>
    </row>
  </sheetData>
</worksheet>
</file>

<file path=xl/worksheets/sheet3.xml><?xml version="1.0" encoding="utf-8"?>
<worksheet xmlns="http://schemas.openxmlformats.org/spreadsheetml/2006/main">
  <sheetData>
    <row r="1">
      <c r="A1" t="inlineStr">
        <is>
          <t>Shareholder Entity</t>
        </is>
      </c>
      <c r="B1" t="inlineStr">
        <is>
          <t>Share Class</t>
        </is>
      </c>
      <c r="C1" t="inlineStr">
        <is>
          <t>Share Count</t>
        </is>
      </c>
      <c r="D1" t="inlineStr">
        <is>
          <t>Fully Diluted %</t>
        </is>
      </c>
      <c r="E1" t="inlineStr">
        <is>
          <t>Investment ($)</t>
        </is>
      </c>
    </row>
    <row r="2">
      <c r="A2" t="inlineStr">
        <is>
          <t>Estella Williams (Founder &amp; CEO)</t>
        </is>
      </c>
      <c r="B2" t="inlineStr">
        <is>
          <t>Common</t>
        </is>
      </c>
      <c r="C2">
        <v>5472000</v>
      </c>
      <c r="D2">
        <f>C2/SUM(C2:C5)</f>
      </c>
      <c r="E2" t="inlineStr">
        <is>
          <t>Sweat Equity</t>
        </is>
      </c>
    </row>
    <row r="3">
      <c r="A3" t="inlineStr">
        <is>
          <t>Founding Engineering Team</t>
        </is>
      </c>
      <c r="B3" t="inlineStr">
        <is>
          <t>Common</t>
        </is>
      </c>
      <c r="C3">
        <v>1368000</v>
      </c>
      <c r="D3">
        <f>C3/SUM(C2:C5)</f>
      </c>
      <c r="E3" t="inlineStr">
        <is>
          <t>Sweat Equity</t>
        </is>
      </c>
    </row>
    <row r="4">
      <c r="A4" t="inlineStr">
        <is>
          <t>Series Seed Institutional Syndicate</t>
        </is>
      </c>
      <c r="B4" t="inlineStr">
        <is>
          <t>Preferred Series Seed</t>
        </is>
      </c>
      <c r="C4">
        <v>1820000</v>
      </c>
      <c r="D4">
        <f>C4/SUM(C2:C5)</f>
      </c>
      <c r="E4">
        <v>2500000</v>
      </c>
    </row>
    <row r="5">
      <c r="A5" t="inlineStr">
        <is>
          <t>Unallocated Employee Option Pool</t>
        </is>
      </c>
      <c r="B5" t="inlineStr">
        <is>
          <t>Options Reserved</t>
        </is>
      </c>
      <c r="C5">
        <v>1340000</v>
      </c>
      <c r="D5">
        <f>C5/SUM(C2:C5)</f>
      </c>
      <c r="E5" t="inlineStr">
        <is>
          <t>Pool Reserve</t>
        </is>
      </c>
    </row>
    <row r="6">
      <c r="A6" t="inlineStr">
        <is>
          <t>Total Fully Diluted Capitalization</t>
        </is>
      </c>
      <c r="B6" t="inlineStr">
        <is>
          <t>All Classes</t>
        </is>
      </c>
      <c r="C6">
        <f>SUM(C2:C5)</f>
      </c>
      <c r="D6">
        <f>SUM(D2:D5)</f>
      </c>
      <c r="E6">
        <v>2500000</v>
      </c>
    </row>
  </sheetData>
</worksheet>
</file>