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Operating Actuals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8" customWidth="1" min="14" max="14"/>
  </cols>
  <sheetData>
    <row r="1" ht="28" customHeight="1">
      <c r="A1" s="1" t="inlineStr">
        <is>
          <t>Williams Logistics Network P&amp;L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Q1 Total</t>
        </is>
      </c>
      <c r="F1" s="1" t="inlineStr">
        <is>
          <t>Apr 2026</t>
        </is>
      </c>
      <c r="G1" s="1" t="inlineStr">
        <is>
          <t>May 2026</t>
        </is>
      </c>
      <c r="H1" s="1" t="inlineStr">
        <is>
          <t>Jun 2026</t>
        </is>
      </c>
      <c r="I1" s="1" t="inlineStr">
        <is>
          <t>Q2 Total</t>
        </is>
      </c>
      <c r="J1" s="1" t="inlineStr">
        <is>
          <t>Jul 2026</t>
        </is>
      </c>
      <c r="K1" s="1" t="inlineStr">
        <is>
          <t>Aug 2026</t>
        </is>
      </c>
      <c r="L1" s="1" t="inlineStr">
        <is>
          <t>Sep 2026</t>
        </is>
      </c>
      <c r="M1" s="1" t="inlineStr">
        <is>
          <t>Q3 Total</t>
        </is>
      </c>
      <c r="N1" s="1" t="inlineStr">
        <is>
          <t>FY26 Projected</t>
        </is>
      </c>
    </row>
    <row r="2" ht="20" customHeight="1">
      <c r="A2" s="2" t="inlineStr">
        <is>
          <t>Terminal SaaS Subscriptions</t>
        </is>
      </c>
      <c r="B2" s="3" t="n">
        <v>215000</v>
      </c>
      <c r="C2" s="3" t="n">
        <v>228000</v>
      </c>
      <c r="D2" s="3" t="n">
        <v>237000</v>
      </c>
      <c r="E2" s="4">
        <f>SUM(B2:D2)</f>
        <v/>
      </c>
      <c r="F2" s="3" t="n">
        <v>254000</v>
      </c>
      <c r="G2" s="3" t="n">
        <v>272000</v>
      </c>
      <c r="H2" s="3" t="n">
        <v>294000</v>
      </c>
      <c r="I2" s="4">
        <f>SUM(F2:H2)</f>
        <v/>
      </c>
      <c r="J2" s="3" t="n">
        <v>318000</v>
      </c>
      <c r="K2" s="3" t="n">
        <v>342000</v>
      </c>
      <c r="L2" s="3" t="n">
        <v>360000</v>
      </c>
      <c r="M2" s="4">
        <f>SUM(J2:L2)</f>
        <v/>
      </c>
      <c r="N2" s="4">
        <f>E2+I2+M2</f>
        <v/>
      </c>
    </row>
    <row r="3" ht="20" customHeight="1">
      <c r="A3" s="5" t="inlineStr">
        <is>
          <t>Volumetric DockDoor Overage Fees</t>
        </is>
      </c>
      <c r="B3" s="6" t="n">
        <v>18500</v>
      </c>
      <c r="C3" s="6" t="n">
        <v>21200</v>
      </c>
      <c r="D3" s="6" t="n">
        <v>24800</v>
      </c>
      <c r="E3" s="7">
        <f>SUM(B3:D3)</f>
        <v/>
      </c>
      <c r="F3" s="6" t="n">
        <v>26500</v>
      </c>
      <c r="G3" s="6" t="n">
        <v>29100</v>
      </c>
      <c r="H3" s="6" t="n">
        <v>32400</v>
      </c>
      <c r="I3" s="7">
        <f>SUM(F3:H3)</f>
        <v/>
      </c>
      <c r="J3" s="6" t="n">
        <v>35800</v>
      </c>
      <c r="K3" s="6" t="n">
        <v>39400</v>
      </c>
      <c r="L3" s="6" t="n">
        <v>42800</v>
      </c>
      <c r="M3" s="7">
        <f>SUM(J3:L3)</f>
        <v/>
      </c>
      <c r="N3" s="7">
        <f>E3+I3+M3</f>
        <v/>
      </c>
    </row>
    <row r="4" ht="20" customHeight="1">
      <c r="A4" s="2" t="inlineStr">
        <is>
          <t>Professional Implementation Services</t>
        </is>
      </c>
      <c r="B4" s="3" t="n">
        <v>12000</v>
      </c>
      <c r="C4" s="3" t="n">
        <v>15000</v>
      </c>
      <c r="D4" s="3" t="n">
        <v>8000</v>
      </c>
      <c r="E4" s="4">
        <f>SUM(B4:D4)</f>
        <v/>
      </c>
      <c r="F4" s="3" t="n">
        <v>18000</v>
      </c>
      <c r="G4" s="3" t="n">
        <v>12000</v>
      </c>
      <c r="H4" s="3" t="n">
        <v>15000</v>
      </c>
      <c r="I4" s="4">
        <f>SUM(F4:H4)</f>
        <v/>
      </c>
      <c r="J4" s="3" t="n">
        <v>20000</v>
      </c>
      <c r="K4" s="3" t="n">
        <v>14000</v>
      </c>
      <c r="L4" s="3" t="n">
        <v>18000</v>
      </c>
      <c r="M4" s="4">
        <f>SUM(J4:L4)</f>
        <v/>
      </c>
      <c r="N4" s="4">
        <f>E4+I4+M4</f>
        <v/>
      </c>
    </row>
    <row r="5" ht="20" customHeight="1">
      <c r="A5" s="8" t="inlineStr">
        <is>
          <t>TOTAL GAAP OPERATING REVENUE (USD)</t>
        </is>
      </c>
      <c r="B5" s="8">
        <f>SUM(B2:B4)</f>
        <v/>
      </c>
      <c r="C5" s="8">
        <f>SUM(C2:C4)</f>
        <v/>
      </c>
      <c r="D5" s="8">
        <f>SUM(D2:D4)</f>
        <v/>
      </c>
      <c r="E5" s="8">
        <f>SUM(E2:E4)</f>
        <v/>
      </c>
      <c r="F5" s="8">
        <f>SUM(F2:F4)</f>
        <v/>
      </c>
      <c r="G5" s="8">
        <f>SUM(G2:G4)</f>
        <v/>
      </c>
      <c r="H5" s="8">
        <f>SUM(H2:H4)</f>
        <v/>
      </c>
      <c r="I5" s="8">
        <f>SUM(I2:I4)</f>
        <v/>
      </c>
      <c r="J5" s="8">
        <f>SUM(J2:J4)</f>
        <v/>
      </c>
      <c r="K5" s="8">
        <f>SUM(K2:K4)</f>
        <v/>
      </c>
      <c r="L5" s="8">
        <f>SUM(L2:L4)</f>
        <v/>
      </c>
      <c r="M5" s="8">
        <f>SUM(M2:M4)</f>
        <v/>
      </c>
      <c r="N5" s="8">
        <f>E5+I5+M5</f>
        <v/>
      </c>
    </row>
    <row r="6" ht="20" customHeight="1">
      <c r="A6" s="2" t="inlineStr">
        <is>
          <t>Cloud Hosting &amp; AWS Multi-Region</t>
        </is>
      </c>
      <c r="B6" s="3" t="n">
        <v>28400</v>
      </c>
      <c r="C6" s="3" t="n">
        <v>29200</v>
      </c>
      <c r="D6" s="3" t="n">
        <v>30100</v>
      </c>
      <c r="E6" s="4">
        <f>SUM(B6:D6)</f>
        <v/>
      </c>
      <c r="F6" s="3" t="n">
        <v>31800</v>
      </c>
      <c r="G6" s="3" t="n">
        <v>33200</v>
      </c>
      <c r="H6" s="3" t="n">
        <v>34600</v>
      </c>
      <c r="I6" s="4">
        <f>SUM(F6:H6)</f>
        <v/>
      </c>
      <c r="J6" s="3" t="n">
        <v>36400</v>
      </c>
      <c r="K6" s="3" t="n">
        <v>38100</v>
      </c>
      <c r="L6" s="3" t="n">
        <v>39500</v>
      </c>
      <c r="M6" s="4">
        <f>SUM(J6:L6)</f>
        <v/>
      </c>
      <c r="N6" s="4">
        <f>E6+I6+M6</f>
        <v/>
      </c>
    </row>
    <row r="7" ht="20" customHeight="1">
      <c r="A7" s="5" t="inlineStr">
        <is>
          <t>Twilio Driver SMS &amp; Gateway Routing</t>
        </is>
      </c>
      <c r="B7" s="6" t="n">
        <v>8200</v>
      </c>
      <c r="C7" s="6" t="n">
        <v>8900</v>
      </c>
      <c r="D7" s="6" t="n">
        <v>9400</v>
      </c>
      <c r="E7" s="7">
        <f>SUM(B7:D7)</f>
        <v/>
      </c>
      <c r="F7" s="6" t="n">
        <v>10200</v>
      </c>
      <c r="G7" s="6" t="n">
        <v>11100</v>
      </c>
      <c r="H7" s="6" t="n">
        <v>11900</v>
      </c>
      <c r="I7" s="7">
        <f>SUM(F7:H7)</f>
        <v/>
      </c>
      <c r="J7" s="6" t="n">
        <v>12800</v>
      </c>
      <c r="K7" s="6" t="n">
        <v>13700</v>
      </c>
      <c r="L7" s="6" t="n">
        <v>14500</v>
      </c>
      <c r="M7" s="7">
        <f>SUM(J7:L7)</f>
        <v/>
      </c>
      <c r="N7" s="7">
        <f>E7+I7+M7</f>
        <v/>
      </c>
    </row>
    <row r="8" ht="20" customHeight="1">
      <c r="A8" s="2" t="inlineStr">
        <is>
          <t>OCR Document Parsing Engine</t>
        </is>
      </c>
      <c r="B8" s="3" t="n">
        <v>4100</v>
      </c>
      <c r="C8" s="3" t="n">
        <v>4400</v>
      </c>
      <c r="D8" s="3" t="n">
        <v>4800</v>
      </c>
      <c r="E8" s="4">
        <f>SUM(B8:D8)</f>
        <v/>
      </c>
      <c r="F8" s="3" t="n">
        <v>5200</v>
      </c>
      <c r="G8" s="3" t="n">
        <v>5600</v>
      </c>
      <c r="H8" s="3" t="n">
        <v>6100</v>
      </c>
      <c r="I8" s="4">
        <f>SUM(F8:H8)</f>
        <v/>
      </c>
      <c r="J8" s="3" t="n">
        <v>6600</v>
      </c>
      <c r="K8" s="3" t="n">
        <v>7100</v>
      </c>
      <c r="L8" s="3" t="n">
        <v>7500</v>
      </c>
      <c r="M8" s="4">
        <f>SUM(J8:L8)</f>
        <v/>
      </c>
      <c r="N8" s="4">
        <f>E8+I8+M8</f>
        <v/>
      </c>
    </row>
    <row r="9" ht="20" customHeight="1">
      <c r="A9" s="5" t="inlineStr">
        <is>
          <t>GROSS PROFIT (USD)</t>
        </is>
      </c>
      <c r="B9" s="7">
        <f>B5-B6-B7-B8</f>
        <v/>
      </c>
      <c r="C9" s="7">
        <f>C5-C6-C7-C8</f>
        <v/>
      </c>
      <c r="D9" s="7">
        <f>D5-D6-D7-D8</f>
        <v/>
      </c>
      <c r="E9" s="7">
        <f>E5-E6-E7-E8</f>
        <v/>
      </c>
      <c r="F9" s="7">
        <f>F5-F6-F7-F8</f>
        <v/>
      </c>
      <c r="G9" s="7">
        <f>G5-G6-G7-G8</f>
        <v/>
      </c>
      <c r="H9" s="7">
        <f>H5-H6-H7-H8</f>
        <v/>
      </c>
      <c r="I9" s="7">
        <f>I5-I6-I7-I8</f>
        <v/>
      </c>
      <c r="J9" s="7">
        <f>J5-J6-J7-J8</f>
        <v/>
      </c>
      <c r="K9" s="7">
        <f>K5-K6-K7-K8</f>
        <v/>
      </c>
      <c r="L9" s="7">
        <f>L5-L6-L7-L8</f>
        <v/>
      </c>
      <c r="M9" s="7">
        <f>M5-M6-M7-M8</f>
        <v/>
      </c>
      <c r="N9" s="7">
        <f>E9+I9+M9</f>
        <v/>
      </c>
    </row>
    <row r="10" ht="20" customHeight="1">
      <c r="A10" s="2" t="inlineStr">
        <is>
          <t>Gross Margin %</t>
        </is>
      </c>
      <c r="B10" s="4">
        <f>B9/B5</f>
        <v/>
      </c>
      <c r="C10" s="4">
        <f>C9/C5</f>
        <v/>
      </c>
      <c r="D10" s="4">
        <f>D9/D5</f>
        <v/>
      </c>
      <c r="E10" s="4">
        <f>E9/E5</f>
        <v/>
      </c>
      <c r="F10" s="4">
        <f>F9/F5</f>
        <v/>
      </c>
      <c r="G10" s="4">
        <f>G9/G5</f>
        <v/>
      </c>
      <c r="H10" s="4">
        <f>H9/H5</f>
        <v/>
      </c>
      <c r="I10" s="4">
        <f>I9/I5</f>
        <v/>
      </c>
      <c r="J10" s="4">
        <f>J9/J5</f>
        <v/>
      </c>
      <c r="K10" s="4">
        <f>K9/K5</f>
        <v/>
      </c>
      <c r="L10" s="4">
        <f>L9/L5</f>
        <v/>
      </c>
      <c r="M10" s="4">
        <f>M9/M5</f>
        <v/>
      </c>
      <c r="N10" s="4">
        <f>N9/N5</f>
        <v/>
      </c>
    </row>
    <row r="11" ht="20" customHeight="1">
      <c r="A11" s="5" t="inlineStr">
        <is>
          <t>Engineering &amp; Product R&amp;D</t>
        </is>
      </c>
      <c r="B11" s="6" t="n">
        <v>125000</v>
      </c>
      <c r="C11" s="6" t="n">
        <v>125000</v>
      </c>
      <c r="D11" s="6" t="n">
        <v>132000</v>
      </c>
      <c r="E11" s="7">
        <f>SUM(B11:D11)</f>
        <v/>
      </c>
      <c r="F11" s="6" t="n">
        <v>132000</v>
      </c>
      <c r="G11" s="6" t="n">
        <v>140000</v>
      </c>
      <c r="H11" s="6" t="n">
        <v>140000</v>
      </c>
      <c r="I11" s="7">
        <f>SUM(F11:H11)</f>
        <v/>
      </c>
      <c r="J11" s="6" t="n">
        <v>148000</v>
      </c>
      <c r="K11" s="6" t="n">
        <v>148000</v>
      </c>
      <c r="L11" s="6" t="n">
        <v>155000</v>
      </c>
      <c r="M11" s="7">
        <f>SUM(J11:L11)</f>
        <v/>
      </c>
      <c r="N11" s="7">
        <f>E11+I11+M11</f>
        <v/>
      </c>
    </row>
    <row r="12" ht="20" customHeight="1">
      <c r="A12" s="2" t="inlineStr">
        <is>
          <t>Sales &amp; Marketing OpEx</t>
        </is>
      </c>
      <c r="B12" s="3" t="n">
        <v>58000</v>
      </c>
      <c r="C12" s="3" t="n">
        <v>62000</v>
      </c>
      <c r="D12" s="3" t="n">
        <v>66000</v>
      </c>
      <c r="E12" s="4">
        <f>SUM(B12:D12)</f>
        <v/>
      </c>
      <c r="F12" s="3" t="n">
        <v>71000</v>
      </c>
      <c r="G12" s="3" t="n">
        <v>74000</v>
      </c>
      <c r="H12" s="3" t="n">
        <v>78000</v>
      </c>
      <c r="I12" s="4">
        <f>SUM(F12:H12)</f>
        <v/>
      </c>
      <c r="J12" s="3" t="n">
        <v>82000</v>
      </c>
      <c r="K12" s="3" t="n">
        <v>86000</v>
      </c>
      <c r="L12" s="3" t="n">
        <v>91000</v>
      </c>
      <c r="M12" s="4">
        <f>SUM(J12:L12)</f>
        <v/>
      </c>
      <c r="N12" s="4">
        <f>E12+I12+M12</f>
        <v/>
      </c>
    </row>
    <row r="13" ht="20" customHeight="1">
      <c r="A13" s="5" t="inlineStr">
        <is>
          <t>General &amp; Administrative (G&amp;A)</t>
        </is>
      </c>
      <c r="B13" s="6" t="n">
        <v>34000</v>
      </c>
      <c r="C13" s="6" t="n">
        <v>34000</v>
      </c>
      <c r="D13" s="6" t="n">
        <v>36000</v>
      </c>
      <c r="E13" s="7">
        <f>SUM(B13:D13)</f>
        <v/>
      </c>
      <c r="F13" s="6" t="n">
        <v>36000</v>
      </c>
      <c r="G13" s="6" t="n">
        <v>38000</v>
      </c>
      <c r="H13" s="6" t="n">
        <v>38000</v>
      </c>
      <c r="I13" s="7">
        <f>SUM(F13:H13)</f>
        <v/>
      </c>
      <c r="J13" s="6" t="n">
        <v>40000</v>
      </c>
      <c r="K13" s="6" t="n">
        <v>40000</v>
      </c>
      <c r="L13" s="6" t="n">
        <v>42000</v>
      </c>
      <c r="M13" s="7">
        <f>SUM(J13:L13)</f>
        <v/>
      </c>
      <c r="N13" s="7">
        <f>E13+I13+M13</f>
        <v/>
      </c>
    </row>
    <row r="14" ht="20" customHeight="1">
      <c r="A14" s="2" t="inlineStr">
        <is>
          <t>OPERATING EBITDA (USD)</t>
        </is>
      </c>
      <c r="B14" s="4">
        <f>B9-B11-B12-B13</f>
        <v/>
      </c>
      <c r="C14" s="4">
        <f>C9-C11-C12-C13</f>
        <v/>
      </c>
      <c r="D14" s="4">
        <f>D9-D11-D12-D13</f>
        <v/>
      </c>
      <c r="E14" s="4">
        <f>E9-E11-E12-E13</f>
        <v/>
      </c>
      <c r="F14" s="4">
        <f>F9-F11-F12-F13</f>
        <v/>
      </c>
      <c r="G14" s="4">
        <f>G9-G11-G12-G13</f>
        <v/>
      </c>
      <c r="H14" s="4">
        <f>H9-H11-H12-H13</f>
        <v/>
      </c>
      <c r="I14" s="4">
        <f>I9-I11-I12-I13</f>
        <v/>
      </c>
      <c r="J14" s="4">
        <f>J9-J11-J12-J13</f>
        <v/>
      </c>
      <c r="K14" s="4">
        <f>K9-K11-K12-K13</f>
        <v/>
      </c>
      <c r="L14" s="4">
        <f>L9-L11-L12-L13</f>
        <v/>
      </c>
      <c r="M14" s="4">
        <f>M9-M11-M12-M13</f>
        <v/>
      </c>
      <c r="N14" s="4">
        <f>E14+I14+M14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SHA256:072c034bfcf9a5fb333d70ef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SHA256:18915dca59af2164a59c133b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SHA256:338ae3680140b1211bc717be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SHA256:c8164d742d6d26ee28c38739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SHA256:2c21d49e4e3d390a49e6b998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SHA256:4ed86a0f13b26b3f43185149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SHA256:bee4510303ebea2ad2043c7f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SHA256:70542b20db0473baa4505e9d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SHA256:0237280e6b58ad7d4d4c804c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SHA256:45d09b740c54715a8f19c891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SHA256:8ccfe7619ee383f93667dba6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SHA256:7762073c8163b137ec72fecf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SHA256:722eda9b9a14da2b13eac341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SHA256:c0d71157fd9a5869984a8477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SHA256:51c5395ede63c91459fe578d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SHA256:6bd7dc142423a9f6d87737d9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SHA256:e97209f89d63630fe27d7456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SHA256:2e926035f3a80210d416992f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SHA256:40ec1fad7ff5f07ff46acf00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SHA256:d3149e4e80dcaf40b7e0ae0f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SHA256:ee5c77857206f59b9084dd2e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SHA256:29ca189fb72ca3a71b61f8f8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SHA256:d0f9a395d4bd96dcb468d82e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SHA256:9f2ad8e4e4bfee79c58873ab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SHA256:4899428ff07364ecdd3f8580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SHA256:48db9da0c6b6649122c42791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SHA256:d849bb24eebe72bd283273e3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SHA256:b9fa02b8023e30e280a2d309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SHA256:da97e251d334ad6b0829ebdf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SHA256:3d015646c701875d736afd43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SHA256:1e3a6882474fab11bd014d58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SHA256:2b6e7b38a7bd869af7f5a11c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SHA256:558df4db46c19213d01bd801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SHA256:85e0a745f23561a997273e96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SHA256:e26057f2089ed1e63c9c3fc1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SHA256:65d963be850c596b38fa53fe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SHA256:6c3bf4bf49dd9f445a6df641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SHA256:4825e5dc611c1f1c28668734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SHA256:89d26cf3756469e1f576b3c3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SHA256:b4fc30f072f7972ebb764013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SHA256:edeb1e1b2381df74301ea586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SHA256:0de21f994f0662dca594094c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SHA256:1dfc1a5304904047ee7d1bdc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SHA256:f0258b75e6b0797eff761669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SHA256:1efe25f17cddd71e3cd1b8e8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SHA256:4041fab6d2256f09b47dbf7e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SHA256:92a2cdef538eb7e2a08de401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SHA256:0e8c339976e4c1684f362ed2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SHA256:c0307e6b4e19025c91088d16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SHA256:23b9a94d5bf2ad22172f189f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SHA256:5116d5dac81deedfd7e35530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SHA256:4f43752994a4ab6380982a1c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SHA256:cc7223bdbd13630f4c251b82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SHA256:31fdd49ce5d133fa22867679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SHA256:39c09e555d662825eefe3880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SHA256:0b24f9881bb48b5721d00c18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SHA256:b8d255d6e4e370331c83c53e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SHA256:97f5969ea1168260a7eeca5b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SHA256:7f41c69591204adb86f25bb3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SHA256:3054e7fff9a14ee3257adc1f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SHA256:dfd10cfda199988dc4c31db0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SHA256:f5aa83e22c742f60c4a0aeeb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SHA256:04581d1559eccdd91375a5cf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SHA256:be6b4569b5044c5d38d29c03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SHA256:151a16bc759c61a0f42464d9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SHA256:7f463c81d974efb76e47c1d5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SHA256:bf714c11db0556078528ea76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SHA256:ae8045a96aa10077ac2d38be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SHA256:57e415dd87a50f594f32b455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SHA256:9e329967b2f9273de35febb6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SHA256:79c0e2d06626714a6c54546b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SHA256:0f8692b7256a5bc9d7939b48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SHA256:51dcb3fb6de92981db01de27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SHA256:059b9c42e699a7dff8360f6e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SHA256:669095a0252b93b7fdfdbd37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SHA256:1d7434f57689cb0d795814fc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SHA256:24a6e7aef839f0cb04e31bdc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SHA256:790459bb24ea3e565256e116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SHA256:b1818078baab98a70bf63b52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SHA256:139dae489408497861872f5f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SHA256:eb0d28b4e4aac41e54562b80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SHA256:68220d62394c822bf0e30ae6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SHA256:d517501e4ad428f3cf7e5696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SHA256:6bca83c8fae41a50712287ca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SHA256:b2e73f7d27c92375bbfe3a39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SHA256:442a1fdbca756d01f057545f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SHA256:22a64ef380d103e305e4e371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SHA256:9e04b02f4d6f9725bdb22552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SHA256:f0fc4953e79671e3169b1951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SHA256:5961426eb73d49e9010fb4bb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SHA256:6d8906345fbe76a6659be43d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SHA256:3862f1b1a7430c3a192cecbe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SHA256:2997dfc8e4c3f1c9699e24af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SHA256:7dc1f93ebd74920c8255c3c2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SHA256:21bfed9c8edcd61c22e7b549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SHA256:7605669e208581475a037363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SHA256:5b8eecaa5a9b29a42871a636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SHA256:cc8b0bf88c3fadfe7f93743c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SHA256:6554824ffe46cab0d2071952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SHA256:0ae346130d3d9ae82009f097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SHA256:e67bd2f17ca018310aa22746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SHA256:af4bbb24b2516f5880b21e47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SHA256:cb72d5d4001082d63e522120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SHA256:3cbd7f89fe609ccac795b431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SHA256:5c6f89adb4e8bf938503164e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SHA256:50df621394b5cdd74229c378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SHA256:8b9720d33653fb58932b68f0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SHA256:3f256cd6a50ebc8307b2740e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SHA256:0a002f716f33a2e69714418d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2026-10-26T11:35:11Z</dcterms:created>
  <dcterms:modified xmlns:dcterms="http://purl.org/dc/terms/" xmlns:xsi="http://www.w3.org/2001/XMLSchema-instance" xsi:type="dcterms:W3CDTF">2026-10-26T11:35:11Z</dcterms:modified>
</cp:coreProperties>
</file>